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BEE2C5-B927-460A-BAB9-13D17020B7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ulador" sheetId="1" r:id="rId1"/>
    <sheet name="Apoio" sheetId="2" r:id="rId2"/>
    <sheet name="Planejamento de Fé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D15" i="3"/>
  <c r="D14" i="3"/>
  <c r="F6" i="3"/>
  <c r="F7" i="3" s="1"/>
  <c r="C33" i="1"/>
  <c r="D32" i="1"/>
  <c r="E32" i="1" s="1"/>
  <c r="C32" i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D19" i="1"/>
  <c r="E19" i="1" s="1"/>
  <c r="C19" i="1"/>
  <c r="D18" i="1"/>
  <c r="E18" i="1" s="1"/>
  <c r="C18" i="1"/>
  <c r="C17" i="1"/>
  <c r="D17" i="1" s="1"/>
  <c r="E17" i="1" s="1"/>
  <c r="C16" i="1"/>
  <c r="D16" i="1" s="1"/>
  <c r="E16" i="1" s="1"/>
  <c r="C15" i="1"/>
  <c r="D15" i="1" s="1"/>
  <c r="E15" i="1" s="1"/>
  <c r="F9" i="1"/>
  <c r="D33" i="1" s="1"/>
  <c r="F8" i="1"/>
  <c r="F7" i="1"/>
  <c r="C7" i="1"/>
  <c r="F6" i="1"/>
  <c r="E33" i="1" l="1"/>
  <c r="E25" i="1"/>
  <c r="C34" i="1"/>
  <c r="E28" i="1"/>
  <c r="F10" i="1"/>
  <c r="D34" i="1" s="1"/>
  <c r="E23" i="1"/>
  <c r="E26" i="1"/>
  <c r="E24" i="1"/>
  <c r="E27" i="1"/>
  <c r="E34" i="1" l="1"/>
</calcChain>
</file>

<file path=xl/sharedStrings.xml><?xml version="1.0" encoding="utf-8"?>
<sst xmlns="http://schemas.openxmlformats.org/spreadsheetml/2006/main" count="113" uniqueCount="76">
  <si>
    <t>🪙🤲 SIMULADOR DE INVESTIMENTOS EM FIIs</t>
  </si>
  <si>
    <t>CONFIGURAÇÕES E PARÂMETROS</t>
  </si>
  <si>
    <t>RESULTADOS CHAVE</t>
  </si>
  <si>
    <t>Salário Mensal</t>
  </si>
  <si>
    <t>Quanto investir por mês?</t>
  </si>
  <si>
    <t>Sugestão de Aporte (30%)</t>
  </si>
  <si>
    <t>Por quantos anos?</t>
  </si>
  <si>
    <t>Aporte Mensal Efetivo</t>
  </si>
  <si>
    <t>Qual a taxa de rendimento mensal?</t>
  </si>
  <si>
    <t>Rendimento Mensal Esperado (% a.m.)</t>
  </si>
  <si>
    <t>Quanto de patrimônio vai acumular?</t>
  </si>
  <si>
    <t>Prazo Simulado (Anos)</t>
  </si>
  <si>
    <t>Quanto vai receber de dividendos por mês?</t>
  </si>
  <si>
    <t>Perfil do Investidor</t>
  </si>
  <si>
    <t>Arrojado</t>
  </si>
  <si>
    <t>PROJEÇÃO DE CENÁRIOS</t>
  </si>
  <si>
    <t>Anos</t>
  </si>
  <si>
    <t>Meses</t>
  </si>
  <si>
    <t>Patrimônio Acumulado</t>
  </si>
  <si>
    <t>Dividendos Mensais Estimados</t>
  </si>
  <si>
    <t>DIVISÃO DO APORTE POR TIPO DE FUNDO</t>
  </si>
  <si>
    <t>Tipo de Fundo</t>
  </si>
  <si>
    <t>Alocação (%)</t>
  </si>
  <si>
    <t>Aporte Mensal (R$)</t>
  </si>
  <si>
    <t>Patrimônio Projetado (R$)</t>
  </si>
  <si>
    <t>FIIs de Papel</t>
  </si>
  <si>
    <t>FIIs de Tijolo - Logística</t>
  </si>
  <si>
    <t>FIIs de Tijolo - Lajes Corporativas</t>
  </si>
  <si>
    <t>FIIs de Tijolo - Shopping</t>
  </si>
  <si>
    <t>FIIs de Fondos de Fondos (FOFs)</t>
  </si>
  <si>
    <t>FIIs do Agronegócio (Fiagro)</t>
  </si>
  <si>
    <t>CENÁRIO COMPARATIVO: APORTE SUGERIDO (30%)</t>
  </si>
  <si>
    <t>Métrica</t>
  </si>
  <si>
    <t>Aporte Sugerido</t>
  </si>
  <si>
    <t>Aporte Atual</t>
  </si>
  <si>
    <t>Diferença</t>
  </si>
  <si>
    <t>Valor do Aporte</t>
  </si>
  <si>
    <t>Patrimônio Projetado</t>
  </si>
  <si>
    <t>Dividendos Mensais</t>
  </si>
  <si>
    <t>Perfil</t>
  </si>
  <si>
    <t>Chave Composta</t>
  </si>
  <si>
    <t>Percentual</t>
  </si>
  <si>
    <t>Conservador</t>
  </si>
  <si>
    <t>Conservador_FIIs de Papel</t>
  </si>
  <si>
    <t>Conservador_FIIs de Tijolo - Logística</t>
  </si>
  <si>
    <t>Conservador_FIIs de Tijolo - Lajes Corporativas</t>
  </si>
  <si>
    <t>Conservador_FIIs de Tijolo - Shopping</t>
  </si>
  <si>
    <t>Conservador_FIIs de Fondos de Fondos (FOFs)</t>
  </si>
  <si>
    <t>Conservador_FIIs do Agronegócio (Fiagro)</t>
  </si>
  <si>
    <t>Moderado</t>
  </si>
  <si>
    <t>Moderado_FIIs de Papel</t>
  </si>
  <si>
    <t>Moderado_FIIs de Tijolo - Logística</t>
  </si>
  <si>
    <t>Moderado_FIIs de Tijolo - Lajes Corporativas</t>
  </si>
  <si>
    <t>Moderado_FIIs de Tijolo - Shopping</t>
  </si>
  <si>
    <t>Moderado_FIIs de Fondos de Fondos (FOFs)</t>
  </si>
  <si>
    <t>Moderado_FIIs do Agronegócio (Fiagro)</t>
  </si>
  <si>
    <t>Arrojado_FIIs de Papel</t>
  </si>
  <si>
    <t>Arrojado_FIIs de Tijolo - Logística</t>
  </si>
  <si>
    <t>Arrojado_FIIs de Tijolo - Lajes Corporativas</t>
  </si>
  <si>
    <t>Arrojado_FIIs de Tijolo - Shopping</t>
  </si>
  <si>
    <t>Arrojado_FIIs de Fondos de Fondos (FOFs)</t>
  </si>
  <si>
    <t>Arrojado_FIIs do Agronegócio (Fiagro)</t>
  </si>
  <si>
    <t>✈️ PLANEJAMENTO DE FÉRIAS</t>
  </si>
  <si>
    <t>Meta do Custo Total da Viagem</t>
  </si>
  <si>
    <t>Quanto guardar por mês?</t>
  </si>
  <si>
    <t>Meses até as Férias</t>
  </si>
  <si>
    <t>Comprometimento do Salário</t>
  </si>
  <si>
    <t>Rendimento Mensal (%)</t>
  </si>
  <si>
    <t>Salário do Usuário</t>
  </si>
  <si>
    <t>SIMULAÇÃO POR DESTINO</t>
  </si>
  <si>
    <t>Destino</t>
  </si>
  <si>
    <t>Custo Estimado</t>
  </si>
  <si>
    <t>Aporte Mensal Necessário</t>
  </si>
  <si>
    <t>Praia Nacional</t>
  </si>
  <si>
    <t>América do Sul</t>
  </si>
  <si>
    <t>Europa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</si>
</sst>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#,##0.00"/>
  </numFmts>
  <fonts count="7" x14ac:knownFonts="1">
    <font>
      <sz val="10"/>
      <color rgb="FF000000"/>
      <name val="Arial"/>
      <scheme val="minor"/>
    </font>
    <font>
      <sz val="10"/>
      <color rgb="FF181B20"/>
      <name val="Roboto"/>
    </font>
    <font>
      <b/>
      <sz val="14"/>
      <color rgb="FFFFFFFF"/>
      <name val="Montserrat"/>
    </font>
    <font>
      <b/>
      <sz val="11"/>
      <color rgb="FFFFFFFF"/>
      <name val="Montserrat"/>
    </font>
    <font>
      <sz val="10"/>
      <name val="Arial"/>
    </font>
    <font>
      <sz val="10"/>
      <color rgb="FF171D17"/>
      <name val="Roboto"/>
    </font>
    <font>
      <b/>
      <sz val="16"/>
      <color rgb="FFFFFFFF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37608F"/>
        <bgColor rgb="FF37608F"/>
      </patternFill>
    </fill>
    <fill>
      <patternFill patternType="solid">
        <fgColor rgb="FF2D6A44"/>
        <bgColor rgb="FF2D6A44"/>
      </patternFill>
    </fill>
    <fill>
      <patternFill patternType="solid">
        <fgColor rgb="FFF6FAF3"/>
        <bgColor rgb="FFF6FAF3"/>
      </patternFill>
    </fill>
  </fills>
  <borders count="9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07970"/>
      </left>
      <right/>
      <top style="thin">
        <color rgb="FF707970"/>
      </top>
      <bottom style="thin">
        <color rgb="FF707970"/>
      </bottom>
      <diagonal/>
    </border>
    <border>
      <left/>
      <right/>
      <top style="thin">
        <color rgb="FF707970"/>
      </top>
      <bottom style="thin">
        <color rgb="FF707970"/>
      </bottom>
      <diagonal/>
    </border>
    <border>
      <left/>
      <right style="thin">
        <color rgb="FF707970"/>
      </right>
      <top style="thin">
        <color rgb="FF707970"/>
      </top>
      <bottom style="thin">
        <color rgb="FF707970"/>
      </bottom>
      <diagonal/>
    </border>
    <border>
      <left style="thin">
        <color rgb="FF707970"/>
      </left>
      <right style="thin">
        <color rgb="FF707970"/>
      </right>
      <top style="thin">
        <color rgb="FF707970"/>
      </top>
      <bottom style="thin">
        <color rgb="FF70797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0" fontId="3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164" fontId="5" fillId="4" borderId="8" xfId="0" applyNumberFormat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9" fontId="1" fillId="0" borderId="1" xfId="0" applyNumberFormat="1" applyFont="1" applyBorder="1"/>
    <xf numFmtId="0" fontId="3" fillId="3" borderId="0" xfId="0" applyFont="1" applyFill="1" applyAlignment="1">
      <alignment horizontal="center" vertical="center"/>
    </xf>
    <xf numFmtId="10" fontId="5" fillId="0" borderId="8" xfId="0" applyNumberFormat="1" applyFont="1" applyBorder="1" applyAlignment="1">
      <alignment vertical="center"/>
    </xf>
    <xf numFmtId="10" fontId="5" fillId="4" borderId="8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</dxfs>
  <tableStyles count="5">
    <tableStyle name="Simulador-style" pivot="0" count="2" xr9:uid="{00000000-0011-0000-FFFF-FFFF00000000}">
      <tableStyleElement type="firstRowStripe" dxfId="9"/>
      <tableStyleElement type="secondRowStripe" dxfId="8"/>
    </tableStyle>
    <tableStyle name="Simulador-style 2" pivot="0" count="2" xr9:uid="{00000000-0011-0000-FFFF-FFFF01000000}">
      <tableStyleElement type="firstRowStripe" dxfId="7"/>
      <tableStyleElement type="secondRowStripe" dxfId="6"/>
    </tableStyle>
    <tableStyle name="Simulador-style 3" pivot="0" count="2" xr9:uid="{00000000-0011-0000-FFFF-FFFF02000000}">
      <tableStyleElement type="firstRowStripe" dxfId="5"/>
      <tableStyleElement type="secondRowStripe" dxfId="4"/>
    </tableStyle>
    <tableStyle name="Simulador-style 4" pivot="0" count="2" xr9:uid="{00000000-0011-0000-FFFF-FFFF03000000}">
      <tableStyleElement type="firstRowStripe" dxfId="3"/>
      <tableStyleElement type="secondRowStripe" dxfId="2"/>
    </tableStyle>
    <tableStyle name="Apoio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Alocação por Tipo de Fundo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BDE-4629-B136-0824273B796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BDE-4629-B136-0824273B796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BDE-4629-B136-0824273B796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BDE-4629-B136-0824273B796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BDE-4629-B136-0824273B796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BDE-4629-B136-0824273B7964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BDE-4629-B136-0824273B7964}"/>
              </c:ext>
            </c:extLst>
          </c:dPt>
          <c:cat>
            <c:strRef>
              <c:f>Simulador!$B$22:$B$28</c:f>
              <c:strCache>
                <c:ptCount val="7"/>
                <c:pt idx="0">
                  <c:v>Tipo de Fundo</c:v>
                </c:pt>
                <c:pt idx="1">
                  <c:v>FIIs de Papel</c:v>
                </c:pt>
                <c:pt idx="2">
                  <c:v>FIIs de Tijolo - Logística</c:v>
                </c:pt>
                <c:pt idx="3">
                  <c:v>FIIs de Tijolo - Lajes Corporativas</c:v>
                </c:pt>
                <c:pt idx="4">
                  <c:v>FIIs de Tijolo - Shopping</c:v>
                </c:pt>
                <c:pt idx="5">
                  <c:v>FIIs de Fondos de Fondos (FOFs)</c:v>
                </c:pt>
                <c:pt idx="6">
                  <c:v>FIIs do Agronegócio (Fiagro)</c:v>
                </c:pt>
              </c:strCache>
            </c:strRef>
          </c:cat>
          <c:val>
            <c:numRef>
              <c:f>Simulador!$C$22:$C$28</c:f>
              <c:numCache>
                <c:formatCode>0.00%</c:formatCode>
                <c:ptCount val="7"/>
                <c:pt idx="0" formatCode="General">
                  <c:v>0</c:v>
                </c:pt>
                <c:pt idx="1">
                  <c:v>0.4</c:v>
                </c:pt>
                <c:pt idx="2">
                  <c:v>0.25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DE-4629-B136-0824273B7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0</xdr:rowOff>
    </xdr:from>
    <xdr:ext cx="4286250" cy="2667000"/>
    <xdr:graphicFrame macro="">
      <xdr:nvGraphicFramePr>
        <xdr:cNvPr id="2" name="Chart 1" title="Alocação por Tipo de Fun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6:C11" headerRowCount="0">
  <tableColumns count="2">
    <tableColumn id="1" xr3:uid="{00000000-0010-0000-0000-000001000000}" name="Column1"/>
    <tableColumn id="2" xr3:uid="{00000000-0010-0000-0000-000002000000}" name="Column2"/>
  </tableColumns>
  <tableStyleInfo name="Simulad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6:F10" headerRowCount="0">
  <tableColumns count="2">
    <tableColumn id="1" xr3:uid="{00000000-0010-0000-0100-000001000000}" name="Column1"/>
    <tableColumn id="2" xr3:uid="{00000000-0010-0000-0100-000002000000}" name="Column2"/>
  </tableColumns>
  <tableStyleInfo name="Simulador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5:E19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Simulador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3:E28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Simulador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D19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Apo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5" workbookViewId="0">
      <selection activeCell="E38" sqref="E38"/>
    </sheetView>
  </sheetViews>
  <sheetFormatPr defaultColWidth="12.6328125" defaultRowHeight="15.75" customHeight="1" x14ac:dyDescent="0.25"/>
  <cols>
    <col min="1" max="1" width="2.6328125" customWidth="1"/>
    <col min="2" max="2" width="46.08984375" customWidth="1"/>
    <col min="3" max="3" width="16.7265625" customWidth="1"/>
    <col min="4" max="4" width="23.36328125" customWidth="1"/>
    <col min="5" max="5" width="32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5" t="s">
        <v>0</v>
      </c>
      <c r="C2" s="16"/>
      <c r="D2" s="16"/>
      <c r="E2" s="16"/>
      <c r="F2" s="1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6"/>
      <c r="C3" s="16"/>
      <c r="D3" s="16"/>
      <c r="E3" s="16"/>
      <c r="F3" s="1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2" t="s">
        <v>1</v>
      </c>
      <c r="C5" s="2"/>
      <c r="D5" s="1"/>
      <c r="E5" s="2" t="s">
        <v>2</v>
      </c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3" t="s">
        <v>3</v>
      </c>
      <c r="C6" s="4">
        <v>5000</v>
      </c>
      <c r="D6" s="1"/>
      <c r="E6" s="3" t="s">
        <v>4</v>
      </c>
      <c r="F6" s="4">
        <f>C8</f>
        <v>800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3" t="s">
        <v>5</v>
      </c>
      <c r="C7" s="4">
        <f>C6*0.3</f>
        <v>1500</v>
      </c>
      <c r="D7" s="1"/>
      <c r="E7" s="3" t="s">
        <v>6</v>
      </c>
      <c r="F7" s="3">
        <f>C10</f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3" t="s">
        <v>7</v>
      </c>
      <c r="C8" s="4">
        <v>800</v>
      </c>
      <c r="D8" s="1"/>
      <c r="E8" s="3" t="s">
        <v>8</v>
      </c>
      <c r="F8" s="5">
        <f>C9</f>
        <v>8.0000000000000002E-3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3" t="s">
        <v>9</v>
      </c>
      <c r="C9" s="5">
        <v>8.0000000000000002E-3</v>
      </c>
      <c r="D9" s="1"/>
      <c r="E9" s="3" t="s">
        <v>10</v>
      </c>
      <c r="F9" s="4">
        <f>FV(C9, C10*12, -C8, 0)</f>
        <v>215004.4026736065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3" t="s">
        <v>11</v>
      </c>
      <c r="C10" s="3">
        <v>12</v>
      </c>
      <c r="D10" s="1"/>
      <c r="E10" s="3" t="s">
        <v>12</v>
      </c>
      <c r="F10" s="4">
        <f>F9*C9</f>
        <v>1720.0352213888521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3" t="s">
        <v>13</v>
      </c>
      <c r="C11" s="3" t="s">
        <v>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7" t="s">
        <v>15</v>
      </c>
      <c r="C13" s="18"/>
      <c r="D13" s="18"/>
      <c r="E13" s="1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2" t="s">
        <v>16</v>
      </c>
      <c r="C14" s="2" t="s">
        <v>17</v>
      </c>
      <c r="D14" s="2" t="s">
        <v>18</v>
      </c>
      <c r="E14" s="2" t="s">
        <v>19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3">
        <v>2</v>
      </c>
      <c r="C15" s="3">
        <f t="shared" ref="C15:C19" si="0">B15*12</f>
        <v>24</v>
      </c>
      <c r="D15" s="4">
        <f t="shared" ref="D15:D19" si="1">FV($C$9, C15, -$C$8, 0)</f>
        <v>21074.52408889565</v>
      </c>
      <c r="E15" s="4">
        <f t="shared" ref="E15:E19" si="2">D15*$C$9</f>
        <v>168.5961927111652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3">
        <v>5</v>
      </c>
      <c r="C16" s="3">
        <f t="shared" si="0"/>
        <v>60</v>
      </c>
      <c r="D16" s="4">
        <f t="shared" si="1"/>
        <v>61299.093465504178</v>
      </c>
      <c r="E16" s="4">
        <f t="shared" si="2"/>
        <v>490.39274772403343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3">
        <v>10</v>
      </c>
      <c r="C17" s="3">
        <f t="shared" si="0"/>
        <v>120</v>
      </c>
      <c r="D17" s="4">
        <f t="shared" si="1"/>
        <v>160173.9755279345</v>
      </c>
      <c r="E17" s="4">
        <f t="shared" si="2"/>
        <v>1281.3918042234759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3">
        <v>20</v>
      </c>
      <c r="C18" s="3">
        <f t="shared" si="0"/>
        <v>240</v>
      </c>
      <c r="D18" s="4">
        <f t="shared" si="1"/>
        <v>576904.97542010271</v>
      </c>
      <c r="E18" s="4">
        <f t="shared" si="2"/>
        <v>4615.2398033608215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3">
        <v>30</v>
      </c>
      <c r="C19" s="3">
        <f t="shared" si="0"/>
        <v>360</v>
      </c>
      <c r="D19" s="4">
        <f t="shared" si="1"/>
        <v>1661130.5850968682</v>
      </c>
      <c r="E19" s="4">
        <f t="shared" si="2"/>
        <v>13289.044680774947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7" t="s">
        <v>20</v>
      </c>
      <c r="C21" s="18"/>
      <c r="D21" s="18"/>
      <c r="E21" s="1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2" t="s">
        <v>21</v>
      </c>
      <c r="C22" s="2" t="s">
        <v>22</v>
      </c>
      <c r="D22" s="2" t="s">
        <v>23</v>
      </c>
      <c r="E22" s="2" t="s">
        <v>24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3" t="s">
        <v>25</v>
      </c>
      <c r="C23" s="5">
        <f>VLOOKUP($C$11&amp;"_"&amp;B23, Apoio!$C$2:$D$19, 2, FALSE)</f>
        <v>0.4</v>
      </c>
      <c r="D23" s="4">
        <f t="shared" ref="D23:D28" si="3">$C$8*C23</f>
        <v>320</v>
      </c>
      <c r="E23" s="4">
        <f t="shared" ref="E23:E28" si="4">$F$9*C23</f>
        <v>86001.761069442611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3" t="s">
        <v>26</v>
      </c>
      <c r="C24" s="5">
        <f>VLOOKUP($C$11&amp;"_"&amp;B24, Apoio!$C$2:$D$19, 2, FALSE)</f>
        <v>0.25</v>
      </c>
      <c r="D24" s="4">
        <f t="shared" si="3"/>
        <v>200</v>
      </c>
      <c r="E24" s="4">
        <f t="shared" si="4"/>
        <v>53751.100668401625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3" t="s">
        <v>27</v>
      </c>
      <c r="C25" s="5">
        <f>VLOOKUP($C$11&amp;"_"&amp;B25, Apoio!$C$2:$D$19, 2, FALSE)</f>
        <v>0.1</v>
      </c>
      <c r="D25" s="4">
        <f t="shared" si="3"/>
        <v>80</v>
      </c>
      <c r="E25" s="4">
        <f t="shared" si="4"/>
        <v>21500.440267360653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3" t="s">
        <v>28</v>
      </c>
      <c r="C26" s="5">
        <f>VLOOKUP($C$11&amp;"_"&amp;B26, Apoio!$C$2:$D$19, 2, FALSE)</f>
        <v>0.1</v>
      </c>
      <c r="D26" s="4">
        <f t="shared" si="3"/>
        <v>80</v>
      </c>
      <c r="E26" s="4">
        <f t="shared" si="4"/>
        <v>21500.440267360653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3" t="s">
        <v>29</v>
      </c>
      <c r="C27" s="5">
        <f>VLOOKUP($C$11&amp;"_"&amp;B27, Apoio!$C$2:$D$19, 2, FALSE)</f>
        <v>0.1</v>
      </c>
      <c r="D27" s="4">
        <f t="shared" si="3"/>
        <v>80</v>
      </c>
      <c r="E27" s="4">
        <f t="shared" si="4"/>
        <v>21500.440267360653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3" t="s">
        <v>30</v>
      </c>
      <c r="C28" s="5">
        <f>VLOOKUP($C$11&amp;"_"&amp;B28, Apoio!$C$2:$D$19, 2, FALSE)</f>
        <v>0.05</v>
      </c>
      <c r="D28" s="4">
        <f t="shared" si="3"/>
        <v>40</v>
      </c>
      <c r="E28" s="4">
        <f t="shared" si="4"/>
        <v>10750.220133680326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20" t="s">
        <v>31</v>
      </c>
      <c r="C30" s="21"/>
      <c r="D30" s="21"/>
      <c r="E30" s="2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6" t="s">
        <v>32</v>
      </c>
      <c r="C31" s="6" t="s">
        <v>33</v>
      </c>
      <c r="D31" s="6" t="s">
        <v>34</v>
      </c>
      <c r="E31" s="6" t="s">
        <v>35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7" t="s">
        <v>36</v>
      </c>
      <c r="C32" s="8">
        <f>C6*0.3</f>
        <v>1500</v>
      </c>
      <c r="D32" s="8">
        <f>C8</f>
        <v>800</v>
      </c>
      <c r="E32" s="8">
        <f t="shared" ref="E32:E34" si="5">C32-D32</f>
        <v>700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9" t="s">
        <v>37</v>
      </c>
      <c r="C33" s="10">
        <f>FV(C9, C10*12, -C32, 0)</f>
        <v>403133.25501301221</v>
      </c>
      <c r="D33" s="10">
        <f t="shared" ref="D33:D34" si="6">F9</f>
        <v>215004.4026736065</v>
      </c>
      <c r="E33" s="10">
        <f t="shared" si="5"/>
        <v>188128.85233940571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7" t="s">
        <v>38</v>
      </c>
      <c r="C34" s="8">
        <f>C33*C9</f>
        <v>3225.0660401040977</v>
      </c>
      <c r="D34" s="8">
        <f t="shared" si="6"/>
        <v>1720.0352213888521</v>
      </c>
      <c r="E34" s="8">
        <f t="shared" si="5"/>
        <v>1505.0308187152457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F3"/>
    <mergeCell ref="B13:E13"/>
    <mergeCell ref="B21:E21"/>
    <mergeCell ref="B30:E30"/>
  </mergeCells>
  <dataValidations count="1">
    <dataValidation type="list" allowBlank="1" sqref="C11" xr:uid="{00000000-0002-0000-0000-000000000000}">
      <formula1>"Conservador,Moderado,Arrojado"</formula1>
    </dataValidation>
  </dataValidations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10.36328125" customWidth="1"/>
    <col min="2" max="2" width="25.453125" customWidth="1"/>
    <col min="3" max="3" width="35.7265625" customWidth="1"/>
    <col min="4" max="4" width="12.90625" customWidth="1"/>
  </cols>
  <sheetData>
    <row r="1" spans="1:26" x14ac:dyDescent="0.3">
      <c r="A1" s="2" t="s">
        <v>39</v>
      </c>
      <c r="B1" s="2" t="s">
        <v>21</v>
      </c>
      <c r="C1" s="2" t="s">
        <v>40</v>
      </c>
      <c r="D1" s="2" t="s">
        <v>41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" t="s">
        <v>42</v>
      </c>
      <c r="B2" s="3" t="s">
        <v>25</v>
      </c>
      <c r="C2" s="3" t="s">
        <v>43</v>
      </c>
      <c r="D2" s="11">
        <v>0.4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3" t="s">
        <v>42</v>
      </c>
      <c r="B3" s="3" t="s">
        <v>26</v>
      </c>
      <c r="C3" s="3" t="s">
        <v>44</v>
      </c>
      <c r="D3" s="11">
        <v>0.25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3" t="s">
        <v>42</v>
      </c>
      <c r="B4" s="3" t="s">
        <v>27</v>
      </c>
      <c r="C4" s="3" t="s">
        <v>45</v>
      </c>
      <c r="D4" s="11">
        <v>0.1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3" t="s">
        <v>42</v>
      </c>
      <c r="B5" s="3" t="s">
        <v>28</v>
      </c>
      <c r="C5" s="3" t="s">
        <v>46</v>
      </c>
      <c r="D5" s="11">
        <v>0.1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3" t="s">
        <v>42</v>
      </c>
      <c r="B6" s="3" t="s">
        <v>29</v>
      </c>
      <c r="C6" s="3" t="s">
        <v>47</v>
      </c>
      <c r="D6" s="11">
        <v>0.1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3" t="s">
        <v>42</v>
      </c>
      <c r="B7" s="3" t="s">
        <v>30</v>
      </c>
      <c r="C7" s="3" t="s">
        <v>48</v>
      </c>
      <c r="D7" s="11">
        <v>0.05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3" t="s">
        <v>49</v>
      </c>
      <c r="B8" s="3" t="s">
        <v>25</v>
      </c>
      <c r="C8" s="3" t="s">
        <v>50</v>
      </c>
      <c r="D8" s="11">
        <v>0.25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3" t="s">
        <v>49</v>
      </c>
      <c r="B9" s="3" t="s">
        <v>26</v>
      </c>
      <c r="C9" s="3" t="s">
        <v>51</v>
      </c>
      <c r="D9" s="11">
        <v>0.25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3" t="s">
        <v>49</v>
      </c>
      <c r="B10" s="3" t="s">
        <v>27</v>
      </c>
      <c r="C10" s="3" t="s">
        <v>52</v>
      </c>
      <c r="D10" s="11">
        <v>0.15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3" t="s">
        <v>49</v>
      </c>
      <c r="B11" s="3" t="s">
        <v>28</v>
      </c>
      <c r="C11" s="3" t="s">
        <v>53</v>
      </c>
      <c r="D11" s="11">
        <v>0.15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3" t="s">
        <v>49</v>
      </c>
      <c r="B12" s="3" t="s">
        <v>29</v>
      </c>
      <c r="C12" s="3" t="s">
        <v>54</v>
      </c>
      <c r="D12" s="11">
        <v>0.1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3" t="s">
        <v>49</v>
      </c>
      <c r="B13" s="3" t="s">
        <v>30</v>
      </c>
      <c r="C13" s="3" t="s">
        <v>55</v>
      </c>
      <c r="D13" s="11">
        <v>0.1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3" t="s">
        <v>14</v>
      </c>
      <c r="B14" s="3" t="s">
        <v>25</v>
      </c>
      <c r="C14" s="3" t="s">
        <v>56</v>
      </c>
      <c r="D14" s="11">
        <v>0.15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3" t="s">
        <v>14</v>
      </c>
      <c r="B15" s="3" t="s">
        <v>26</v>
      </c>
      <c r="C15" s="3" t="s">
        <v>57</v>
      </c>
      <c r="D15" s="11">
        <v>0.2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3" t="s">
        <v>14</v>
      </c>
      <c r="B16" s="3" t="s">
        <v>27</v>
      </c>
      <c r="C16" s="3" t="s">
        <v>58</v>
      </c>
      <c r="D16" s="11">
        <v>0.2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3" t="s">
        <v>14</v>
      </c>
      <c r="B17" s="3" t="s">
        <v>28</v>
      </c>
      <c r="C17" s="3" t="s">
        <v>59</v>
      </c>
      <c r="D17" s="11">
        <v>0.2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3" t="s">
        <v>14</v>
      </c>
      <c r="B18" s="3" t="s">
        <v>29</v>
      </c>
      <c r="C18" s="3" t="s">
        <v>60</v>
      </c>
      <c r="D18" s="11">
        <v>0.1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3" t="s">
        <v>14</v>
      </c>
      <c r="B19" s="3" t="s">
        <v>30</v>
      </c>
      <c r="C19" s="3" t="s">
        <v>61</v>
      </c>
      <c r="D19" s="11">
        <v>0.15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16"/>
  <sheetViews>
    <sheetView workbookViewId="0"/>
  </sheetViews>
  <sheetFormatPr defaultColWidth="12.6328125" defaultRowHeight="15.75" customHeight="1" x14ac:dyDescent="0.25"/>
  <cols>
    <col min="2" max="2" width="44.36328125" customWidth="1"/>
    <col min="3" max="3" width="16.08984375" customWidth="1"/>
    <col min="4" max="4" width="26" customWidth="1"/>
    <col min="5" max="5" width="22.90625" customWidth="1"/>
    <col min="6" max="6" width="9.36328125" customWidth="1"/>
  </cols>
  <sheetData>
    <row r="2" spans="2:6" ht="15.75" customHeight="1" x14ac:dyDescent="0.25">
      <c r="B2" s="23" t="s">
        <v>62</v>
      </c>
      <c r="C2" s="16"/>
      <c r="D2" s="16"/>
      <c r="E2" s="16"/>
      <c r="F2" s="16"/>
    </row>
    <row r="3" spans="2:6" ht="15.75" customHeight="1" x14ac:dyDescent="0.25">
      <c r="B3" s="16"/>
      <c r="C3" s="16"/>
      <c r="D3" s="16"/>
      <c r="E3" s="16"/>
      <c r="F3" s="16"/>
    </row>
    <row r="5" spans="2:6" ht="15.75" customHeight="1" x14ac:dyDescent="0.25">
      <c r="B5" s="20" t="s">
        <v>1</v>
      </c>
      <c r="C5" s="22"/>
      <c r="D5" s="12"/>
      <c r="E5" s="20" t="s">
        <v>2</v>
      </c>
      <c r="F5" s="22"/>
    </row>
    <row r="6" spans="2:6" ht="15.75" customHeight="1" x14ac:dyDescent="0.25">
      <c r="B6" s="7" t="s">
        <v>63</v>
      </c>
      <c r="C6" s="8">
        <v>15000</v>
      </c>
      <c r="E6" s="7" t="s">
        <v>64</v>
      </c>
      <c r="F6" s="8">
        <f>PMT(C8, C7, 0, -C6)</f>
        <v>1195.9493945523616</v>
      </c>
    </row>
    <row r="7" spans="2:6" ht="15.75" customHeight="1" x14ac:dyDescent="0.25">
      <c r="B7" s="9" t="s">
        <v>65</v>
      </c>
      <c r="C7" s="9">
        <v>12</v>
      </c>
      <c r="E7" s="9" t="s">
        <v>66</v>
      </c>
      <c r="F7" s="13">
        <f>F6/C9</f>
        <v>0.2391898789104723</v>
      </c>
    </row>
    <row r="8" spans="2:6" ht="15.75" customHeight="1" x14ac:dyDescent="0.25">
      <c r="B8" s="7" t="s">
        <v>67</v>
      </c>
      <c r="C8" s="14">
        <v>8.0000000000000002E-3</v>
      </c>
    </row>
    <row r="9" spans="2:6" ht="15.75" customHeight="1" x14ac:dyDescent="0.25">
      <c r="B9" s="9" t="s">
        <v>68</v>
      </c>
      <c r="C9" s="10">
        <v>5000</v>
      </c>
    </row>
    <row r="12" spans="2:6" ht="15.75" customHeight="1" x14ac:dyDescent="0.25">
      <c r="B12" s="20" t="s">
        <v>69</v>
      </c>
      <c r="C12" s="21"/>
      <c r="D12" s="22"/>
    </row>
    <row r="13" spans="2:6" ht="15.75" customHeight="1" x14ac:dyDescent="0.25">
      <c r="B13" s="6" t="s">
        <v>70</v>
      </c>
      <c r="C13" s="6" t="s">
        <v>71</v>
      </c>
      <c r="D13" s="6" t="s">
        <v>72</v>
      </c>
    </row>
    <row r="14" spans="2:6" ht="15.75" customHeight="1" x14ac:dyDescent="0.25">
      <c r="B14" s="7" t="s">
        <v>73</v>
      </c>
      <c r="C14" s="8">
        <v>5000</v>
      </c>
      <c r="D14" s="8">
        <f t="shared" ref="D14:D16" si="0">PMT($C$8, $C$7, 0, -C14)</f>
        <v>398.64979818412047</v>
      </c>
    </row>
    <row r="15" spans="2:6" ht="15.75" customHeight="1" x14ac:dyDescent="0.25">
      <c r="B15" s="9" t="s">
        <v>74</v>
      </c>
      <c r="C15" s="10">
        <v>10000</v>
      </c>
      <c r="D15" s="10">
        <f t="shared" si="0"/>
        <v>797.29959636824094</v>
      </c>
    </row>
    <row r="16" spans="2:6" ht="15.75" customHeight="1" x14ac:dyDescent="0.25">
      <c r="B16" s="7" t="s">
        <v>75</v>
      </c>
      <c r="C16" s="8">
        <v>25000</v>
      </c>
      <c r="D16" s="8">
        <f t="shared" si="0"/>
        <v>1993.2489909206024</v>
      </c>
    </row>
  </sheetData>
  <mergeCells count="4">
    <mergeCell ref="B2:F3"/>
    <mergeCell ref="B5:C5"/>
    <mergeCell ref="E5:F5"/>
    <mergeCell ref="B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</vt:lpstr>
      <vt:lpstr>Apoio</vt:lpstr>
      <vt:lpstr>Planejamento de Férias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Genison Moreira</cp:lastModifiedBy>
  <dcterms:modified xsi:type="dcterms:W3CDTF">2026-10-16T22:58:21Z</dcterms:modified>
</cp:coreProperties>
</file>