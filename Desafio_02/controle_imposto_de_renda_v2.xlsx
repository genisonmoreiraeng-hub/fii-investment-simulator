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EA5F936-551F-486F-9620-FA166EADB716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3" l="1"/>
  <c r="C7" i="2"/>
</calcChain>
</file>

<file path=xl/sharedStrings.xml><?xml version="1.0" encoding="utf-8"?>
<sst xmlns="http://schemas.openxmlformats.org/spreadsheetml/2006/main" count="131" uniqueCount="112">
  <si>
    <t>1. DADOS DO TÍTULAR</t>
  </si>
  <si>
    <t>preencha os dados da sua pessoa física abaixo</t>
  </si>
  <si>
    <t>NOME</t>
  </si>
  <si>
    <t>CAMILA ALBUQUERQUE MONTEIRO</t>
  </si>
  <si>
    <t>CPF</t>
  </si>
  <si>
    <t>987.654.321-00</t>
  </si>
  <si>
    <t>NASCIMENTO</t>
  </si>
  <si>
    <t>1988-11-15</t>
  </si>
  <si>
    <t>TÍTULO DE ELEITOR</t>
  </si>
  <si>
    <t>88492019</t>
  </si>
  <si>
    <t>CÔNJUGE</t>
  </si>
  <si>
    <t>Rodrigo Diniz Mello</t>
  </si>
  <si>
    <t>RUA</t>
  </si>
  <si>
    <t>Avenida das Américas, Bloco 3 - Apt 1202</t>
  </si>
  <si>
    <t>RUA ABREVIADA</t>
  </si>
  <si>
    <t>Av. das Américas, Bl. 3 - Apt 1202</t>
  </si>
  <si>
    <t>CEP</t>
  </si>
  <si>
    <t>22640-102</t>
  </si>
  <si>
    <t>TELEFONE</t>
  </si>
  <si>
    <t>2133445566</t>
  </si>
  <si>
    <t>CELULAR</t>
  </si>
  <si>
    <t>21988776655</t>
  </si>
  <si>
    <t>E-MAIL</t>
  </si>
  <si>
    <t>camila.monteiro@email.com</t>
  </si>
  <si>
    <t>HOUVE ALTERAÇÕES DA ENTREGA ANTERIOR</t>
  </si>
  <si>
    <t>NÃO</t>
  </si>
  <si>
    <t>DEPENDENTE CÔNJUGE</t>
  </si>
  <si>
    <t>SIM</t>
  </si>
  <si>
    <t>RESIDENTE DO EXTERIOR</t>
  </si>
  <si>
    <t>2. INFORMES DE RENDIMENTOS BANCÁRIOS</t>
  </si>
  <si>
    <t>Preencha com seus dados atuais de cada banco</t>
  </si>
  <si>
    <t>TOTAL</t>
  </si>
  <si>
    <t>1º Banco</t>
  </si>
  <si>
    <t>BANCO</t>
  </si>
  <si>
    <t>208 - Banco BTG Pactual</t>
  </si>
  <si>
    <t>VALOR ATUAL</t>
  </si>
  <si>
    <t>ANEXO 🖇️</t>
  </si>
  <si>
    <t>informe_btg_2026.pdf</t>
  </si>
  <si>
    <t>2º Banco</t>
  </si>
  <si>
    <t>260 - Nubank</t>
  </si>
  <si>
    <t>informe_nubank_2026.pdf</t>
  </si>
  <si>
    <t>3º Banco</t>
  </si>
  <si>
    <t>102 - XP Investimentos CCTVM S.A.</t>
  </si>
  <si>
    <t>informe_xp_2026.pdf</t>
  </si>
  <si>
    <t>4º Banco</t>
  </si>
  <si>
    <t>341 - Itaú Unibanco</t>
  </si>
  <si>
    <t>informe_itau_2026.pdf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</si>
  <si>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</si>
  <si>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</si>
  <si>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</si>
  <si>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</si>
  <si>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</si>
  <si>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</si>
  <si>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2025-01-31</t>
  </si>
  <si>
    <t>HOLERITE</t>
  </si>
  <si>
    <t>2025-02-28</t>
  </si>
  <si>
    <t>2025-03-15</t>
  </si>
  <si>
    <t>FREELANCE</t>
  </si>
  <si>
    <t>2025-03-31</t>
  </si>
  <si>
    <t>2025-04-10</t>
  </si>
  <si>
    <t>DIVIDENDOS</t>
  </si>
  <si>
    <t>2025-04-30</t>
  </si>
  <si>
    <t>2025-05-31</t>
  </si>
  <si>
    <t>2025-06-15</t>
  </si>
  <si>
    <t>ALUGUEL</t>
  </si>
  <si>
    <t>bancos</t>
  </si>
  <si>
    <t>1 - Banco do Brasil</t>
  </si>
  <si>
    <t>104 - Caixa Econômica Federal</t>
  </si>
  <si>
    <t>119 - Banco Western Union do Brasil</t>
  </si>
  <si>
    <t>184 - Banco Itaú BBA S.A.</t>
  </si>
  <si>
    <t>197 - Stone Pagamentos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</si>
  <si>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</si>
  <si>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</si>
  <si>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</si>
  <si>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</si>
  <si>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</si>
  <si>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</si>
  <si>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</si>
  <si>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29 - Banco do Estado do Rio de Janeiro</t>
  </si>
  <si>
    <t>290 - PagBank</t>
  </si>
  <si>
    <t>3 - Banco da Amazônia</t>
  </si>
  <si>
    <t>33 - Banco Santander</t>
  </si>
  <si>
    <t>336 - C6 Bank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</si>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</sst>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8" x14ac:knownFonts="1">
    <font>
      <sz val="11"/>
      <color theme="1"/>
      <name val="Calibri"/>
      <family val="2"/>
      <scheme val="minor"/>
    </font>
    <font>
      <b/>
      <sz val="10"/>
      <name val="Calibri"/>
    </font>
    <font>
      <b/>
      <sz val="14"/>
      <color rgb="FF0F4C3A"/>
      <name val="Calibri"/>
    </font>
    <font>
      <i/>
      <sz val="10"/>
      <color rgb="FF4A6056"/>
      <name val="Calibri"/>
    </font>
    <font>
      <b/>
      <sz val="10"/>
      <color rgb="FF1E332B"/>
      <name val="Calibri"/>
    </font>
    <font>
      <sz val="10"/>
      <color rgb="FF000000"/>
      <name val="Calibri"/>
    </font>
    <font>
      <b/>
      <sz val="11"/>
      <color rgb="FF0F4C3A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6F0EC"/>
        <bgColor rgb="FFE6F0EC"/>
      </patternFill>
    </fill>
    <fill>
      <patternFill patternType="solid">
        <fgColor rgb="FF0F4C3A"/>
        <bgColor rgb="FF0F4C3A"/>
      </patternFill>
    </fill>
    <fill>
      <patternFill patternType="solid">
        <fgColor rgb="FF0E1317"/>
        <bgColor indexed="64"/>
      </patternFill>
    </fill>
  </fills>
  <borders count="3">
    <border>
      <left/>
      <right/>
      <top/>
      <bottom/>
      <diagonal/>
    </border>
    <border>
      <left style="thin">
        <color rgb="FFC2D6CE"/>
      </left>
      <right style="thin">
        <color rgb="FFC2D6CE"/>
      </right>
      <top style="thin">
        <color rgb="FFC2D6CE"/>
      </top>
      <bottom style="thin">
        <color rgb="FFC2D6CE"/>
      </bottom>
      <diagonal/>
    </border>
    <border>
      <left/>
      <right/>
      <top style="thin">
        <color rgb="FF0F4C3A"/>
      </top>
      <bottom style="double">
        <color rgb="FF0F4C3A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/>
    <xf numFmtId="164" fontId="2" fillId="0" borderId="0" xfId="0" applyNumberFormat="1" applyFont="1"/>
    <xf numFmtId="0" fontId="4" fillId="2" borderId="1" xfId="0" applyFont="1" applyFill="1" applyBorder="1"/>
    <xf numFmtId="0" fontId="5" fillId="0" borderId="1" xfId="0" applyFont="1" applyBorder="1"/>
    <xf numFmtId="164" fontId="5" fillId="0" borderId="1" xfId="0" applyNumberFormat="1" applyFont="1" applyBorder="1"/>
    <xf numFmtId="0" fontId="7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0" fontId="1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felipeaguiar-exe/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564650</xdr:colOff>
      <xdr:row>2</xdr:row>
      <xdr:rowOff>69850</xdr:rowOff>
    </xdr:from>
    <xdr:to>
      <xdr:col>0</xdr:col>
      <xdr:colOff>1416550</xdr:colOff>
      <xdr:row>6</xdr:row>
      <xdr:rowOff>125412</xdr:rowOff>
    </xdr:to>
    <xdr:pic>
      <xdr:nvPicPr>
        <xdr:cNvPr id="10" name="Imagem 9" descr="Lion - Free animals icons">
          <a:extLst>
            <a:ext uri="{FF2B5EF4-FFF2-40B4-BE49-F238E27FC236}">
              <a16:creationId xmlns:a16="http://schemas.microsoft.com/office/drawing/2014/main" id="{59716F70-30DE-493E-A540-49622D80F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650" y="438150"/>
          <a:ext cx="851900" cy="8429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6350</xdr:colOff>
      <xdr:row>0</xdr:row>
      <xdr:rowOff>0</xdr:rowOff>
    </xdr:from>
    <xdr:to>
      <xdr:col>0</xdr:col>
      <xdr:colOff>1968500</xdr:colOff>
      <xdr:row>1</xdr:row>
      <xdr:rowOff>149225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F4FB90F9-AE2B-4A87-9042-C373D258560C}"/>
            </a:ext>
          </a:extLst>
        </xdr:cNvPr>
        <xdr:cNvSpPr/>
      </xdr:nvSpPr>
      <xdr:spPr>
        <a:xfrm>
          <a:off x="6350" y="0"/>
          <a:ext cx="19621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28575</xdr:colOff>
      <xdr:row>8</xdr:row>
      <xdr:rowOff>88899</xdr:rowOff>
    </xdr:from>
    <xdr:to>
      <xdr:col>0</xdr:col>
      <xdr:colOff>1962150</xdr:colOff>
      <xdr:row>10</xdr:row>
      <xdr:rowOff>90486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895C7C6-39C0-4407-8CF6-29AEEB776B42}"/>
            </a:ext>
          </a:extLst>
        </xdr:cNvPr>
        <xdr:cNvSpPr/>
      </xdr:nvSpPr>
      <xdr:spPr>
        <a:xfrm>
          <a:off x="28575" y="1612899"/>
          <a:ext cx="1933575" cy="369887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28575</xdr:colOff>
      <xdr:row>11</xdr:row>
      <xdr:rowOff>30163</xdr:rowOff>
    </xdr:from>
    <xdr:to>
      <xdr:col>0</xdr:col>
      <xdr:colOff>1965325</xdr:colOff>
      <xdr:row>13</xdr:row>
      <xdr:rowOff>80963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1140876-E572-42CB-81AC-1ACD11022BBB}"/>
            </a:ext>
          </a:extLst>
        </xdr:cNvPr>
        <xdr:cNvSpPr/>
      </xdr:nvSpPr>
      <xdr:spPr>
        <a:xfrm>
          <a:off x="28575" y="2106613"/>
          <a:ext cx="1936750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31750</xdr:colOff>
      <xdr:row>14</xdr:row>
      <xdr:rowOff>9525</xdr:rowOff>
    </xdr:from>
    <xdr:to>
      <xdr:col>0</xdr:col>
      <xdr:colOff>1965325</xdr:colOff>
      <xdr:row>16</xdr:row>
      <xdr:rowOff>65087</xdr:rowOff>
    </xdr:to>
    <xdr:sp macro="" textlink="">
      <xdr:nvSpPr>
        <xdr:cNvPr id="14" name="Retângulo: Cantos Arredondados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785F420-39C8-432C-8831-3AFC5BBA939E}"/>
            </a:ext>
          </a:extLst>
        </xdr:cNvPr>
        <xdr:cNvSpPr/>
      </xdr:nvSpPr>
      <xdr:spPr>
        <a:xfrm>
          <a:off x="31750" y="2638425"/>
          <a:ext cx="1933575" cy="42386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171450</xdr:colOff>
      <xdr:row>18</xdr:row>
      <xdr:rowOff>87312</xdr:rowOff>
    </xdr:from>
    <xdr:to>
      <xdr:col>0</xdr:col>
      <xdr:colOff>1746251</xdr:colOff>
      <xdr:row>21</xdr:row>
      <xdr:rowOff>1587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239C58C5-92F3-4A0E-A75C-B147E1F096A5}"/>
            </a:ext>
          </a:extLst>
        </xdr:cNvPr>
        <xdr:cNvSpPr/>
      </xdr:nvSpPr>
      <xdr:spPr>
        <a:xfrm>
          <a:off x="171450" y="3452812"/>
          <a:ext cx="1574801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203200</xdr:colOff>
      <xdr:row>18</xdr:row>
      <xdr:rowOff>104775</xdr:rowOff>
    </xdr:from>
    <xdr:to>
      <xdr:col>0</xdr:col>
      <xdr:colOff>1755775</xdr:colOff>
      <xdr:row>18</xdr:row>
      <xdr:rowOff>104775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549D827-9E92-48E9-817B-75B45039E52A}"/>
            </a:ext>
          </a:extLst>
        </xdr:cNvPr>
        <xdr:cNvCxnSpPr/>
      </xdr:nvCxnSpPr>
      <xdr:spPr>
        <a:xfrm>
          <a:off x="203200" y="3470275"/>
          <a:ext cx="1552575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828675</xdr:colOff>
      <xdr:row>20</xdr:row>
      <xdr:rowOff>68262</xdr:rowOff>
    </xdr:from>
    <xdr:to>
      <xdr:col>0</xdr:col>
      <xdr:colOff>1173859</xdr:colOff>
      <xdr:row>22</xdr:row>
      <xdr:rowOff>26988</xdr:rowOff>
    </xdr:to>
    <xdr:pic>
      <xdr:nvPicPr>
        <xdr:cNvPr id="17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7EDB71E-2E12-4B40-8B66-C68728992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3802062"/>
          <a:ext cx="345184" cy="327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558300</xdr:colOff>
      <xdr:row>2</xdr:row>
      <xdr:rowOff>69850</xdr:rowOff>
    </xdr:from>
    <xdr:to>
      <xdr:col>0</xdr:col>
      <xdr:colOff>1410200</xdr:colOff>
      <xdr:row>6</xdr:row>
      <xdr:rowOff>125412</xdr:rowOff>
    </xdr:to>
    <xdr:pic>
      <xdr:nvPicPr>
        <xdr:cNvPr id="10" name="Imagem 9" descr="Lion - Free animals icons">
          <a:extLst>
            <a:ext uri="{FF2B5EF4-FFF2-40B4-BE49-F238E27FC236}">
              <a16:creationId xmlns:a16="http://schemas.microsoft.com/office/drawing/2014/main" id="{A1D6558A-9CCC-4B40-AD28-E0A40239B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300" y="438150"/>
          <a:ext cx="851900" cy="8429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1962150</xdr:colOff>
      <xdr:row>1</xdr:row>
      <xdr:rowOff>149225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1E8BB66A-59E4-486B-9B27-C2140648E871}"/>
            </a:ext>
          </a:extLst>
        </xdr:cNvPr>
        <xdr:cNvSpPr/>
      </xdr:nvSpPr>
      <xdr:spPr>
        <a:xfrm>
          <a:off x="0" y="0"/>
          <a:ext cx="19621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22225</xdr:colOff>
      <xdr:row>8</xdr:row>
      <xdr:rowOff>38099</xdr:rowOff>
    </xdr:from>
    <xdr:to>
      <xdr:col>0</xdr:col>
      <xdr:colOff>1955800</xdr:colOff>
      <xdr:row>10</xdr:row>
      <xdr:rowOff>39686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51BD776-FD8B-490B-8E3B-FE61C548595A}"/>
            </a:ext>
          </a:extLst>
        </xdr:cNvPr>
        <xdr:cNvSpPr/>
      </xdr:nvSpPr>
      <xdr:spPr>
        <a:xfrm>
          <a:off x="22225" y="1612899"/>
          <a:ext cx="1933575" cy="369887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22225</xdr:colOff>
      <xdr:row>10</xdr:row>
      <xdr:rowOff>163513</xdr:rowOff>
    </xdr:from>
    <xdr:to>
      <xdr:col>0</xdr:col>
      <xdr:colOff>1958975</xdr:colOff>
      <xdr:row>13</xdr:row>
      <xdr:rowOff>30163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A800B7-52F2-4866-9701-B49C0A0710DB}"/>
            </a:ext>
          </a:extLst>
        </xdr:cNvPr>
        <xdr:cNvSpPr/>
      </xdr:nvSpPr>
      <xdr:spPr>
        <a:xfrm>
          <a:off x="22225" y="2106613"/>
          <a:ext cx="1936750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25400</xdr:colOff>
      <xdr:row>13</xdr:row>
      <xdr:rowOff>142875</xdr:rowOff>
    </xdr:from>
    <xdr:to>
      <xdr:col>0</xdr:col>
      <xdr:colOff>1958975</xdr:colOff>
      <xdr:row>16</xdr:row>
      <xdr:rowOff>14287</xdr:rowOff>
    </xdr:to>
    <xdr:sp macro="" textlink="">
      <xdr:nvSpPr>
        <xdr:cNvPr id="14" name="Retângulo: Cantos Arredondados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C09FD93-37B3-4547-91C9-28ED9ED1A381}"/>
            </a:ext>
          </a:extLst>
        </xdr:cNvPr>
        <xdr:cNvSpPr/>
      </xdr:nvSpPr>
      <xdr:spPr>
        <a:xfrm>
          <a:off x="25400" y="2638425"/>
          <a:ext cx="1933575" cy="42386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165100</xdr:colOff>
      <xdr:row>18</xdr:row>
      <xdr:rowOff>36512</xdr:rowOff>
    </xdr:from>
    <xdr:to>
      <xdr:col>0</xdr:col>
      <xdr:colOff>1739901</xdr:colOff>
      <xdr:row>20</xdr:row>
      <xdr:rowOff>134937</xdr:rowOff>
    </xdr:to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BAA87FCB-845D-448C-B2A4-DE6F9A0FA18A}"/>
            </a:ext>
          </a:extLst>
        </xdr:cNvPr>
        <xdr:cNvSpPr/>
      </xdr:nvSpPr>
      <xdr:spPr>
        <a:xfrm>
          <a:off x="165100" y="3452812"/>
          <a:ext cx="1574801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196850</xdr:colOff>
      <xdr:row>18</xdr:row>
      <xdr:rowOff>53975</xdr:rowOff>
    </xdr:from>
    <xdr:to>
      <xdr:col>0</xdr:col>
      <xdr:colOff>1749425</xdr:colOff>
      <xdr:row>18</xdr:row>
      <xdr:rowOff>53975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3D763E36-9C65-47CB-B7AB-C451677BA470}"/>
            </a:ext>
          </a:extLst>
        </xdr:cNvPr>
        <xdr:cNvCxnSpPr/>
      </xdr:nvCxnSpPr>
      <xdr:spPr>
        <a:xfrm>
          <a:off x="196850" y="3470275"/>
          <a:ext cx="1552575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822325</xdr:colOff>
      <xdr:row>20</xdr:row>
      <xdr:rowOff>17462</xdr:rowOff>
    </xdr:from>
    <xdr:to>
      <xdr:col>0</xdr:col>
      <xdr:colOff>1167509</xdr:colOff>
      <xdr:row>21</xdr:row>
      <xdr:rowOff>160338</xdr:rowOff>
    </xdr:to>
    <xdr:pic>
      <xdr:nvPicPr>
        <xdr:cNvPr id="17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8746116-A39C-4E44-A9CF-CCB9C72C8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325" y="3802062"/>
          <a:ext cx="345184" cy="327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558300</xdr:colOff>
      <xdr:row>2</xdr:row>
      <xdr:rowOff>69850</xdr:rowOff>
    </xdr:from>
    <xdr:to>
      <xdr:col>0</xdr:col>
      <xdr:colOff>1410200</xdr:colOff>
      <xdr:row>6</xdr:row>
      <xdr:rowOff>125412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9316AB80-579F-48AE-B998-D616A3493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300" y="438150"/>
          <a:ext cx="851900" cy="8429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1962150</xdr:colOff>
      <xdr:row>1</xdr:row>
      <xdr:rowOff>149225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E8721C8-F49A-42DC-BF41-13DA43D89D26}"/>
            </a:ext>
          </a:extLst>
        </xdr:cNvPr>
        <xdr:cNvSpPr/>
      </xdr:nvSpPr>
      <xdr:spPr>
        <a:xfrm>
          <a:off x="0" y="0"/>
          <a:ext cx="1962150" cy="3333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 flip="none" rotWithShape="1">
                <a:gsLst>
                  <a:gs pos="1000">
                    <a:schemeClr val="bg1"/>
                  </a:gs>
                  <a:gs pos="61000">
                    <a:srgbClr val="EE37BF"/>
                  </a:gs>
                  <a:gs pos="100000">
                    <a:srgbClr val="6124E8">
                      <a:lumMod val="69000"/>
                      <a:lumOff val="31000"/>
                    </a:srgb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22225</xdr:colOff>
      <xdr:row>8</xdr:row>
      <xdr:rowOff>88899</xdr:rowOff>
    </xdr:from>
    <xdr:to>
      <xdr:col>0</xdr:col>
      <xdr:colOff>1955800</xdr:colOff>
      <xdr:row>10</xdr:row>
      <xdr:rowOff>90486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2A71E71-F45A-4267-B6B4-94B35ADEFAF7}"/>
            </a:ext>
          </a:extLst>
        </xdr:cNvPr>
        <xdr:cNvSpPr/>
      </xdr:nvSpPr>
      <xdr:spPr>
        <a:xfrm>
          <a:off x="22225" y="1612899"/>
          <a:ext cx="1933575" cy="369887"/>
        </a:xfrm>
        <a:prstGeom prst="roundRect">
          <a:avLst>
            <a:gd name="adj" fmla="val 50000"/>
          </a:avLst>
        </a:prstGeom>
        <a:gradFill flip="none" rotWithShape="1">
          <a:gsLst>
            <a:gs pos="17000">
              <a:srgbClr val="EE37BF"/>
            </a:gs>
            <a:gs pos="95000">
              <a:srgbClr val="6124E8">
                <a:lumMod val="80000"/>
                <a:lumOff val="20000"/>
                <a:alpha val="63000"/>
              </a:srgb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22225</xdr:colOff>
      <xdr:row>11</xdr:row>
      <xdr:rowOff>30163</xdr:rowOff>
    </xdr:from>
    <xdr:to>
      <xdr:col>0</xdr:col>
      <xdr:colOff>1958975</xdr:colOff>
      <xdr:row>13</xdr:row>
      <xdr:rowOff>80963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DF386BA-B439-4AA3-AA5D-A405E1593920}"/>
            </a:ext>
          </a:extLst>
        </xdr:cNvPr>
        <xdr:cNvSpPr/>
      </xdr:nvSpPr>
      <xdr:spPr>
        <a:xfrm>
          <a:off x="22225" y="2106613"/>
          <a:ext cx="1936750" cy="4191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25400</xdr:colOff>
      <xdr:row>14</xdr:row>
      <xdr:rowOff>9525</xdr:rowOff>
    </xdr:from>
    <xdr:to>
      <xdr:col>0</xdr:col>
      <xdr:colOff>1958975</xdr:colOff>
      <xdr:row>16</xdr:row>
      <xdr:rowOff>65087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5681B68-26D0-4AD0-8127-DBA0BDB2E5C1}"/>
            </a:ext>
          </a:extLst>
        </xdr:cNvPr>
        <xdr:cNvSpPr/>
      </xdr:nvSpPr>
      <xdr:spPr>
        <a:xfrm>
          <a:off x="25400" y="2638425"/>
          <a:ext cx="1933575" cy="423862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165100</xdr:colOff>
      <xdr:row>18</xdr:row>
      <xdr:rowOff>87312</xdr:rowOff>
    </xdr:from>
    <xdr:to>
      <xdr:col>0</xdr:col>
      <xdr:colOff>1739901</xdr:colOff>
      <xdr:row>21</xdr:row>
      <xdr:rowOff>1587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508A1789-4C12-4B4B-AD26-0D8327D0DD3F}"/>
            </a:ext>
          </a:extLst>
        </xdr:cNvPr>
        <xdr:cNvSpPr/>
      </xdr:nvSpPr>
      <xdr:spPr>
        <a:xfrm>
          <a:off x="165100" y="3452812"/>
          <a:ext cx="1574801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SYSTEM BY DIO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196850</xdr:colOff>
      <xdr:row>18</xdr:row>
      <xdr:rowOff>104775</xdr:rowOff>
    </xdr:from>
    <xdr:to>
      <xdr:col>0</xdr:col>
      <xdr:colOff>1749425</xdr:colOff>
      <xdr:row>18</xdr:row>
      <xdr:rowOff>104775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B9D3144C-7243-4131-B1F0-DC77676A99CD}"/>
            </a:ext>
          </a:extLst>
        </xdr:cNvPr>
        <xdr:cNvCxnSpPr/>
      </xdr:nvCxnSpPr>
      <xdr:spPr>
        <a:xfrm>
          <a:off x="196850" y="3470275"/>
          <a:ext cx="1552575" cy="0"/>
        </a:xfrm>
        <a:prstGeom prst="line">
          <a:avLst/>
        </a:prstGeom>
        <a:ln w="9525">
          <a:solidFill>
            <a:srgbClr val="EE37BF"/>
          </a:solidFill>
          <a:prstDash val="solid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822325</xdr:colOff>
      <xdr:row>20</xdr:row>
      <xdr:rowOff>68262</xdr:rowOff>
    </xdr:from>
    <xdr:to>
      <xdr:col>0</xdr:col>
      <xdr:colOff>1167509</xdr:colOff>
      <xdr:row>22</xdr:row>
      <xdr:rowOff>26988</xdr:rowOff>
    </xdr:to>
    <xdr:pic>
      <xdr:nvPicPr>
        <xdr:cNvPr id="9" name="icon_link" descr="Linkedin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AF8159-DC00-416B-B338-4D5D0E58B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2325" y="3802062"/>
          <a:ext cx="345184" cy="327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19"/>
  <sheetViews>
    <sheetView topLeftCell="A7" workbookViewId="0">
      <selection activeCell="C1" sqref="C1"/>
    </sheetView>
  </sheetViews>
  <sheetFormatPr defaultRowHeight="14.5" x14ac:dyDescent="0.35"/>
  <cols>
    <col min="1" max="1" width="29.90625" style="16" customWidth="1"/>
    <col min="2" max="2" width="3" customWidth="1"/>
    <col min="3" max="3" width="42" customWidth="1"/>
    <col min="4" max="4" width="48" customWidth="1"/>
  </cols>
  <sheetData>
    <row r="3" spans="3:4" ht="18.5" x14ac:dyDescent="0.45">
      <c r="C3" s="1" t="s">
        <v>0</v>
      </c>
    </row>
    <row r="4" spans="3:4" x14ac:dyDescent="0.35">
      <c r="C4" s="2" t="s">
        <v>1</v>
      </c>
    </row>
    <row r="6" spans="3:4" x14ac:dyDescent="0.35">
      <c r="C6" s="3" t="s">
        <v>2</v>
      </c>
      <c r="D6" s="4" t="s">
        <v>3</v>
      </c>
    </row>
    <row r="7" spans="3:4" x14ac:dyDescent="0.35">
      <c r="C7" s="3" t="s">
        <v>4</v>
      </c>
      <c r="D7" s="4" t="s">
        <v>5</v>
      </c>
    </row>
    <row r="8" spans="3:4" x14ac:dyDescent="0.35">
      <c r="C8" s="3" t="s">
        <v>6</v>
      </c>
      <c r="D8" s="4" t="s">
        <v>7</v>
      </c>
    </row>
    <row r="9" spans="3:4" x14ac:dyDescent="0.35">
      <c r="C9" s="3" t="s">
        <v>8</v>
      </c>
      <c r="D9" s="4" t="s">
        <v>9</v>
      </c>
    </row>
    <row r="10" spans="3:4" x14ac:dyDescent="0.35">
      <c r="C10" s="3" t="s">
        <v>10</v>
      </c>
      <c r="D10" s="4" t="s">
        <v>11</v>
      </c>
    </row>
    <row r="11" spans="3:4" x14ac:dyDescent="0.35">
      <c r="C11" s="3" t="s">
        <v>12</v>
      </c>
      <c r="D11" s="4" t="s">
        <v>13</v>
      </c>
    </row>
    <row r="12" spans="3:4" x14ac:dyDescent="0.35">
      <c r="C12" s="3" t="s">
        <v>14</v>
      </c>
      <c r="D12" s="4" t="s">
        <v>15</v>
      </c>
    </row>
    <row r="13" spans="3:4" x14ac:dyDescent="0.35">
      <c r="C13" s="3" t="s">
        <v>16</v>
      </c>
      <c r="D13" s="4" t="s">
        <v>17</v>
      </c>
    </row>
    <row r="14" spans="3:4" x14ac:dyDescent="0.35">
      <c r="C14" s="3" t="s">
        <v>18</v>
      </c>
      <c r="D14" s="4" t="s">
        <v>19</v>
      </c>
    </row>
    <row r="15" spans="3:4" x14ac:dyDescent="0.35">
      <c r="C15" s="3" t="s">
        <v>20</v>
      </c>
      <c r="D15" s="4" t="s">
        <v>21</v>
      </c>
    </row>
    <row r="16" spans="3:4" x14ac:dyDescent="0.35">
      <c r="C16" s="3" t="s">
        <v>22</v>
      </c>
      <c r="D16" s="4" t="s">
        <v>23</v>
      </c>
    </row>
    <row r="17" spans="3:4" x14ac:dyDescent="0.35">
      <c r="C17" s="3" t="s">
        <v>24</v>
      </c>
      <c r="D17" s="4" t="s">
        <v>25</v>
      </c>
    </row>
    <row r="18" spans="3:4" x14ac:dyDescent="0.35">
      <c r="C18" s="3" t="s">
        <v>26</v>
      </c>
      <c r="D18" s="4" t="s">
        <v>27</v>
      </c>
    </row>
    <row r="19" spans="3:4" x14ac:dyDescent="0.35">
      <c r="C19" s="3" t="s">
        <v>28</v>
      </c>
      <c r="D19" s="4" t="s">
        <v>25</v>
      </c>
    </row>
  </sheetData>
  <dataValidations count="1">
    <dataValidation type="list" allowBlank="1" sqref="D17:D19" xr:uid="{00000000-0002-0000-0000-000000000000}">
      <formula1>"SIM,NÃO"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27"/>
  <sheetViews>
    <sheetView workbookViewId="0">
      <selection sqref="A1:A1048576"/>
    </sheetView>
  </sheetViews>
  <sheetFormatPr defaultRowHeight="14.5" x14ac:dyDescent="0.35"/>
  <cols>
    <col min="1" max="1" width="29.90625" style="16" customWidth="1"/>
    <col min="2" max="2" width="3" customWidth="1"/>
    <col min="3" max="3" width="25" customWidth="1"/>
    <col min="4" max="4" width="38" customWidth="1"/>
  </cols>
  <sheetData>
    <row r="3" spans="3:4" ht="18.5" x14ac:dyDescent="0.45">
      <c r="C3" s="1" t="s">
        <v>29</v>
      </c>
    </row>
    <row r="4" spans="3:4" x14ac:dyDescent="0.35">
      <c r="C4" s="2" t="s">
        <v>30</v>
      </c>
    </row>
    <row r="6" spans="3:4" x14ac:dyDescent="0.35">
      <c r="C6" s="5" t="s">
        <v>31</v>
      </c>
    </row>
    <row r="7" spans="3:4" ht="18.5" x14ac:dyDescent="0.45">
      <c r="C7" s="6">
        <f>SUM(D11,D16,D21,D26)</f>
        <v>570080.65</v>
      </c>
    </row>
    <row r="9" spans="3:4" x14ac:dyDescent="0.35">
      <c r="C9" s="5" t="s">
        <v>32</v>
      </c>
    </row>
    <row r="10" spans="3:4" x14ac:dyDescent="0.35">
      <c r="C10" s="7" t="s">
        <v>33</v>
      </c>
      <c r="D10" s="8" t="s">
        <v>34</v>
      </c>
    </row>
    <row r="11" spans="3:4" x14ac:dyDescent="0.35">
      <c r="C11" s="7" t="s">
        <v>35</v>
      </c>
      <c r="D11" s="9">
        <v>125400.5</v>
      </c>
    </row>
    <row r="12" spans="3:4" x14ac:dyDescent="0.35">
      <c r="C12" s="7" t="s">
        <v>36</v>
      </c>
      <c r="D12" s="8" t="s">
        <v>37</v>
      </c>
    </row>
    <row r="14" spans="3:4" x14ac:dyDescent="0.35">
      <c r="C14" s="5" t="s">
        <v>38</v>
      </c>
    </row>
    <row r="15" spans="3:4" x14ac:dyDescent="0.35">
      <c r="C15" s="7" t="s">
        <v>33</v>
      </c>
      <c r="D15" s="8" t="s">
        <v>39</v>
      </c>
    </row>
    <row r="16" spans="3:4" x14ac:dyDescent="0.35">
      <c r="C16" s="7" t="s">
        <v>35</v>
      </c>
      <c r="D16" s="9">
        <v>48230.15</v>
      </c>
    </row>
    <row r="17" spans="3:4" x14ac:dyDescent="0.35">
      <c r="C17" s="7" t="s">
        <v>36</v>
      </c>
      <c r="D17" s="8" t="s">
        <v>40</v>
      </c>
    </row>
    <row r="19" spans="3:4" x14ac:dyDescent="0.35">
      <c r="C19" s="5" t="s">
        <v>41</v>
      </c>
    </row>
    <row r="20" spans="3:4" x14ac:dyDescent="0.35">
      <c r="C20" s="7" t="s">
        <v>33</v>
      </c>
      <c r="D20" s="8" t="s">
        <v>42</v>
      </c>
    </row>
    <row r="21" spans="3:4" x14ac:dyDescent="0.35">
      <c r="C21" s="7" t="s">
        <v>35</v>
      </c>
      <c r="D21" s="9">
        <v>310850</v>
      </c>
    </row>
    <row r="22" spans="3:4" x14ac:dyDescent="0.35">
      <c r="C22" s="7" t="s">
        <v>36</v>
      </c>
      <c r="D22" s="8" t="s">
        <v>43</v>
      </c>
    </row>
    <row r="24" spans="3:4" x14ac:dyDescent="0.35">
      <c r="C24" s="5" t="s">
        <v>44</v>
      </c>
    </row>
    <row r="25" spans="3:4" x14ac:dyDescent="0.35">
      <c r="C25" s="7" t="s">
        <v>33</v>
      </c>
      <c r="D25" s="8" t="s">
        <v>45</v>
      </c>
    </row>
    <row r="26" spans="3:4" x14ac:dyDescent="0.35">
      <c r="C26" s="7" t="s">
        <v>35</v>
      </c>
      <c r="D26" s="9">
        <v>85600</v>
      </c>
    </row>
    <row r="27" spans="3:4" x14ac:dyDescent="0.35">
      <c r="C27" s="7" t="s">
        <v>36</v>
      </c>
      <c r="D27" s="8" t="s">
        <v>46</v>
      </c>
    </row>
  </sheetData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100-000000000000}">
          <x14:formula1>
            <xm:f>TABELAS!$A$2:$A$51</xm:f>
          </x14:formula1>
          <xm:sqref>D10 D15 D20 D25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E17"/>
  <sheetViews>
    <sheetView tabSelected="1" workbookViewId="0">
      <selection activeCell="I7" sqref="I7"/>
    </sheetView>
  </sheetViews>
  <sheetFormatPr defaultRowHeight="14.5" x14ac:dyDescent="0.35"/>
  <cols>
    <col min="1" max="1" width="29.90625" style="16" customWidth="1"/>
    <col min="2" max="2" width="3" customWidth="1"/>
    <col min="3" max="3" width="18" customWidth="1"/>
    <col min="4" max="4" width="25" customWidth="1"/>
    <col min="5" max="5" width="22" customWidth="1"/>
  </cols>
  <sheetData>
    <row r="3" spans="3:5" ht="18.5" x14ac:dyDescent="0.45">
      <c r="C3" s="1" t="s">
        <v>47</v>
      </c>
    </row>
    <row r="4" spans="3:5" x14ac:dyDescent="0.35">
      <c r="C4" s="2" t="s">
        <v>48</v>
      </c>
    </row>
    <row r="7" spans="3:5" x14ac:dyDescent="0.35">
      <c r="C7" s="5" t="s">
        <v>49</v>
      </c>
    </row>
    <row r="8" spans="3:5" x14ac:dyDescent="0.35">
      <c r="C8" s="10" t="s">
        <v>50</v>
      </c>
      <c r="D8" s="10" t="s">
        <v>51</v>
      </c>
      <c r="E8" s="10" t="s">
        <v>52</v>
      </c>
    </row>
    <row r="9" spans="3:5" x14ac:dyDescent="0.35">
      <c r="C9" s="11" t="s">
        <v>53</v>
      </c>
      <c r="D9" s="4" t="s">
        <v>54</v>
      </c>
      <c r="E9" s="12">
        <v>14500</v>
      </c>
    </row>
    <row r="10" spans="3:5" x14ac:dyDescent="0.35">
      <c r="C10" s="11" t="s">
        <v>55</v>
      </c>
      <c r="D10" s="4" t="s">
        <v>54</v>
      </c>
      <c r="E10" s="12">
        <v>14500</v>
      </c>
    </row>
    <row r="11" spans="3:5" x14ac:dyDescent="0.35">
      <c r="C11" s="11" t="s">
        <v>56</v>
      </c>
      <c r="D11" s="4" t="s">
        <v>57</v>
      </c>
      <c r="E11" s="12">
        <v>5800</v>
      </c>
    </row>
    <row r="12" spans="3:5" x14ac:dyDescent="0.35">
      <c r="C12" s="11" t="s">
        <v>58</v>
      </c>
      <c r="D12" s="4" t="s">
        <v>54</v>
      </c>
      <c r="E12" s="12">
        <v>14500</v>
      </c>
    </row>
    <row r="13" spans="3:5" x14ac:dyDescent="0.35">
      <c r="C13" s="11" t="s">
        <v>59</v>
      </c>
      <c r="D13" s="4" t="s">
        <v>60</v>
      </c>
      <c r="E13" s="12">
        <v>3200</v>
      </c>
    </row>
    <row r="14" spans="3:5" x14ac:dyDescent="0.35">
      <c r="C14" s="11" t="s">
        <v>61</v>
      </c>
      <c r="D14" s="4" t="s">
        <v>54</v>
      </c>
      <c r="E14" s="12">
        <v>14500</v>
      </c>
    </row>
    <row r="15" spans="3:5" x14ac:dyDescent="0.35">
      <c r="C15" s="11" t="s">
        <v>62</v>
      </c>
      <c r="D15" s="4" t="s">
        <v>54</v>
      </c>
      <c r="E15" s="12">
        <v>14500</v>
      </c>
    </row>
    <row r="16" spans="3:5" x14ac:dyDescent="0.35">
      <c r="C16" s="11" t="s">
        <v>63</v>
      </c>
      <c r="D16" s="4" t="s">
        <v>64</v>
      </c>
      <c r="E16" s="12">
        <v>2800</v>
      </c>
    </row>
    <row r="17" spans="4:5" x14ac:dyDescent="0.35">
      <c r="D17" s="13" t="s">
        <v>31</v>
      </c>
      <c r="E17" s="14">
        <f>SUM(E9:E16)</f>
        <v>84300</v>
      </c>
    </row>
  </sheetData>
  <dataValidations count="1">
    <dataValidation type="list" allowBlank="1" sqref="D9:D16" xr:uid="{00000000-0002-0000-0200-000000000000}">
      <formula1>"HOLERITE,FREELANCE,ALUGUEL,DIVIDENDOS,PRÓ-LABORE,OUTROS"</formula1>
    </dataValidation>
  </dataValidation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1"/>
  <sheetViews>
    <sheetView workbookViewId="0"/>
  </sheetViews>
  <sheetFormatPr defaultRowHeight="14.5" x14ac:dyDescent="0.35"/>
  <sheetData>
    <row r="1" spans="1:1" x14ac:dyDescent="0.35">
      <c r="A1" s="15" t="s">
        <v>65</v>
      </c>
    </row>
    <row r="2" spans="1:1" x14ac:dyDescent="0.35">
      <c r="A2" t="s">
        <v>66</v>
      </c>
    </row>
    <row r="3" spans="1:1" x14ac:dyDescent="0.35">
      <c r="A3" t="s">
        <v>42</v>
      </c>
    </row>
    <row r="4" spans="1:1" x14ac:dyDescent="0.35">
      <c r="A4" t="s">
        <v>67</v>
      </c>
    </row>
    <row r="5" spans="1:1" x14ac:dyDescent="0.35">
      <c r="A5" t="s">
        <v>68</v>
      </c>
    </row>
    <row r="6" spans="1:1" x14ac:dyDescent="0.35">
      <c r="A6" t="s">
        <v>69</v>
      </c>
    </row>
    <row r="7" spans="1:1" x14ac:dyDescent="0.35">
      <c r="A7" t="s">
        <v>70</v>
      </c>
    </row>
    <row r="8" spans="1:1" x14ac:dyDescent="0.35">
      <c r="A8" t="s">
        <v>34</v>
      </c>
    </row>
    <row r="9" spans="1:1" x14ac:dyDescent="0.35">
      <c r="A9" t="s">
        <v>71</v>
      </c>
    </row>
    <row r="10" spans="1:1" x14ac:dyDescent="0.35">
      <c r="A10" t="s">
        <v>72</v>
      </c>
    </row>
    <row r="11" spans="1:1" x14ac:dyDescent="0.35">
      <c r="A11" t="s">
        <v>73</v>
      </c>
    </row>
    <row r="12" spans="1:1" x14ac:dyDescent="0.35">
      <c r="A12" t="s">
        <v>74</v>
      </c>
    </row>
    <row r="13" spans="1:1" x14ac:dyDescent="0.35">
      <c r="A13" t="s">
        <v>75</v>
      </c>
    </row>
    <row r="14" spans="1:1" x14ac:dyDescent="0.35">
      <c r="A14" t="s">
        <v>76</v>
      </c>
    </row>
    <row r="15" spans="1:1" x14ac:dyDescent="0.35">
      <c r="A15" t="s">
        <v>77</v>
      </c>
    </row>
    <row r="16" spans="1:1" x14ac:dyDescent="0.35">
      <c r="A16" t="s">
        <v>39</v>
      </c>
    </row>
    <row r="17" spans="1:1" x14ac:dyDescent="0.35">
      <c r="A17" t="s">
        <v>78</v>
      </c>
    </row>
    <row r="18" spans="1:1" x14ac:dyDescent="0.35">
      <c r="A18" t="s">
        <v>79</v>
      </c>
    </row>
    <row r="19" spans="1:1" x14ac:dyDescent="0.35">
      <c r="A19" t="s">
        <v>80</v>
      </c>
    </row>
    <row r="20" spans="1:1" x14ac:dyDescent="0.35">
      <c r="A20" t="s">
        <v>81</v>
      </c>
    </row>
    <row r="21" spans="1:1" x14ac:dyDescent="0.35">
      <c r="A21" t="s">
        <v>82</v>
      </c>
    </row>
    <row r="22" spans="1:1" x14ac:dyDescent="0.35">
      <c r="A22" t="s">
        <v>45</v>
      </c>
    </row>
    <row r="23" spans="1:1" x14ac:dyDescent="0.35">
      <c r="A23" t="s">
        <v>83</v>
      </c>
    </row>
    <row r="24" spans="1:1" x14ac:dyDescent="0.35">
      <c r="A24" t="s">
        <v>84</v>
      </c>
    </row>
    <row r="25" spans="1:1" x14ac:dyDescent="0.35">
      <c r="A25" t="s">
        <v>85</v>
      </c>
    </row>
    <row r="26" spans="1:1" x14ac:dyDescent="0.35">
      <c r="A26" t="s">
        <v>86</v>
      </c>
    </row>
    <row r="27" spans="1:1" x14ac:dyDescent="0.35">
      <c r="A27" t="s">
        <v>87</v>
      </c>
    </row>
    <row r="28" spans="1:1" x14ac:dyDescent="0.35">
      <c r="A28" t="s">
        <v>88</v>
      </c>
    </row>
    <row r="29" spans="1:1" x14ac:dyDescent="0.35">
      <c r="A29" t="s">
        <v>89</v>
      </c>
    </row>
    <row r="30" spans="1:1" x14ac:dyDescent="0.35">
      <c r="A30" t="s">
        <v>90</v>
      </c>
    </row>
    <row r="31" spans="1:1" x14ac:dyDescent="0.35">
      <c r="A31" t="s">
        <v>91</v>
      </c>
    </row>
    <row r="32" spans="1:1" x14ac:dyDescent="0.35">
      <c r="A32" t="s">
        <v>92</v>
      </c>
    </row>
    <row r="33" spans="1:1" x14ac:dyDescent="0.35">
      <c r="A33" t="s">
        <v>93</v>
      </c>
    </row>
    <row r="34" spans="1:1" x14ac:dyDescent="0.35">
      <c r="A34" t="s">
        <v>94</v>
      </c>
    </row>
    <row r="35" spans="1:1" x14ac:dyDescent="0.35">
      <c r="A35" t="s">
        <v>95</v>
      </c>
    </row>
    <row r="36" spans="1:1" x14ac:dyDescent="0.35">
      <c r="A36" t="s">
        <v>96</v>
      </c>
    </row>
    <row r="37" spans="1:1" x14ac:dyDescent="0.35">
      <c r="A37" t="s">
        <v>97</v>
      </c>
    </row>
    <row r="38" spans="1:1" x14ac:dyDescent="0.35">
      <c r="A38" t="s">
        <v>98</v>
      </c>
    </row>
    <row r="39" spans="1:1" x14ac:dyDescent="0.35">
      <c r="A39" t="s">
        <v>99</v>
      </c>
    </row>
    <row r="40" spans="1:1" x14ac:dyDescent="0.35">
      <c r="A40" t="s">
        <v>100</v>
      </c>
    </row>
    <row r="41" spans="1:1" x14ac:dyDescent="0.35">
      <c r="A41" t="s">
        <v>101</v>
      </c>
    </row>
    <row r="42" spans="1:1" x14ac:dyDescent="0.35">
      <c r="A42" t="s">
        <v>102</v>
      </c>
    </row>
    <row r="43" spans="1:1" x14ac:dyDescent="0.35">
      <c r="A43" t="s">
        <v>103</v>
      </c>
    </row>
    <row r="44" spans="1:1" x14ac:dyDescent="0.35">
      <c r="A44" t="s">
        <v>104</v>
      </c>
    </row>
    <row r="45" spans="1:1" x14ac:dyDescent="0.35">
      <c r="A45" t="s">
        <v>105</v>
      </c>
    </row>
    <row r="46" spans="1:1" x14ac:dyDescent="0.35">
      <c r="A46" t="s">
        <v>106</v>
      </c>
    </row>
    <row r="47" spans="1:1" x14ac:dyDescent="0.35">
      <c r="A47" t="s">
        <v>107</v>
      </c>
    </row>
    <row r="48" spans="1:1" x14ac:dyDescent="0.35">
      <c r="A48" t="s">
        <v>108</v>
      </c>
    </row>
    <row r="49" spans="1:1" x14ac:dyDescent="0.35">
      <c r="A49" t="s">
        <v>109</v>
      </c>
    </row>
    <row r="50" spans="1:1" x14ac:dyDescent="0.35">
      <c r="A50" t="s">
        <v>110</v>
      </c>
    </row>
    <row r="51" spans="1:1" x14ac:dyDescent="0.35">
      <c r="A51" t="s">
        <v>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Genison Moreira</cp:lastModifiedBy>
  <dcterms:created xsi:type="dcterms:W3CDTF">2026-10-18T20:27:43Z</dcterms:created>
  <dcterms:modified xsi:type="dcterms:W3CDTF">2026-10-18T20:43:47Z</dcterms:modified>
</cp:coreProperties>
</file>