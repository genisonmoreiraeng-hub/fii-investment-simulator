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https://d.docs.live.net/80595cd6b5288a6b/Área de Trabalho/Projetos_DIO/Santander- Excel com IA e Claude/999_Desafios/Desafio_03/"/>
    </mc:Choice>
  </mc:AlternateContent>
  <xr:revisionPtr revIDLastSave="0" documentId="8_{38CDDEA6-F49A-44C1-8374-5AB7880643A1}" xr6:coauthVersionLast="47" xr6:coauthVersionMax="47" xr10:uidLastSave="{00000000-0000-0000-0000-000000000000}"/>
  <bookViews>
    <workbookView xWindow="-110" yWindow="-110" windowWidth="19420" windowHeight="10300" tabRatio="392" firstSheet="1" activeTab="3" xr2:uid="{28DD5B76-0634-4F87-BE60-8BFA7EF2E23B}"/>
  </bookViews>
  <sheets>
    <sheet name="A̳ssets" sheetId="1" state="hidden" r:id="rId1"/>
    <sheet name="B̳ases" sheetId="2" r:id="rId2"/>
    <sheet name="C̳álculos" sheetId="3" r:id="rId3"/>
    <sheet name="D̳ashboard" sheetId="4" r:id="rId4"/>
  </sheets>
  <definedNames>
    <definedName name="_xlnm.Print_Area" localSheetId="3">D̳ashboard!$A$1:$N$34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4" l="1"/>
  <c r="L31" i="4"/>
  <c r="L30" i="4"/>
  <c r="L29" i="4"/>
  <c r="L28" i="4"/>
  <c r="J31" i="4"/>
  <c r="J30" i="4"/>
  <c r="J29" i="4"/>
  <c r="J28" i="4"/>
  <c r="H31" i="4"/>
  <c r="H30" i="4"/>
  <c r="H29" i="4"/>
  <c r="H28" i="4"/>
  <c r="F31" i="4"/>
  <c r="F30" i="4"/>
  <c r="F29" i="4"/>
  <c r="F28" i="4"/>
  <c r="D31" i="4"/>
  <c r="D30" i="4"/>
  <c r="D29" i="4"/>
  <c r="D28" i="4"/>
  <c r="B28" i="4"/>
  <c r="C33" i="3"/>
  <c r="C32" i="3"/>
  <c r="C31" i="3"/>
  <c r="C23" i="3"/>
  <c r="D23" i="3"/>
  <c r="E23" i="3"/>
  <c r="F23" i="3"/>
  <c r="G23" i="3"/>
  <c r="G22" i="3"/>
  <c r="F22" i="3"/>
  <c r="E22" i="3"/>
  <c r="D22" i="3"/>
  <c r="C22" i="3"/>
  <c r="G21" i="3"/>
  <c r="F21" i="3"/>
  <c r="E21" i="3"/>
  <c r="D21" i="3"/>
  <c r="C21" i="3"/>
  <c r="G20" i="3"/>
  <c r="F20" i="3"/>
  <c r="E20" i="3"/>
  <c r="D20" i="3"/>
  <c r="C20" i="3"/>
  <c r="C5" i="3"/>
  <c r="C6" i="3" s="1"/>
  <c r="C14" i="3" l="1"/>
  <c r="C13" i="3"/>
  <c r="C12" i="3"/>
  <c r="C11" i="3"/>
  <c r="E8" i="4" s="1"/>
  <c r="C10" i="3"/>
  <c r="B8" i="4" s="1"/>
  <c r="J14" i="4" l="1"/>
  <c r="H8" i="4"/>
  <c r="K8" i="4"/>
  <c r="J15" i="4"/>
  <c r="M5" i="4"/>
  <c r="L16" i="4"/>
  <c r="J16" i="4"/>
  <c r="C28" i="3"/>
  <c r="C16" i="3"/>
  <c r="C27" i="3"/>
  <c r="C15" i="3"/>
  <c r="L15" i="4" l="1"/>
  <c r="K10" i="4"/>
  <c r="H10" i="4"/>
  <c r="L14" i="4"/>
</calcChain>
</file>

<file path=xl/sharedStrings.xml><?xml version="1.0" encoding="utf-8"?>
<sst xmlns="http://schemas.openxmlformats.org/spreadsheetml/2006/main" count="2065" uniqueCount="371">
  <si>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</si>
  <si>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</si>
  <si>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</si>
  <si>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</si>
  <si>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</si>
  <si>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</si>
  <si>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</si>
  <si>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</si>
  <si>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</si>
  <si>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</si>
  <si>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</si>
  <si>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</si>
  <si>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</si>
  <si>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</si>
  <si>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</si>
  <si>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</si>
  <si>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</si>
  <si>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</si>
  <si>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</si>
  <si>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</si>
  <si>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</si>
  <si>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</si>
  <si>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</si>
  <si>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</si>
  <si>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</si>
  <si>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</si>
  <si>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</si>
  <si>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</si>
  <si>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</si>
  <si>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</si>
  <si>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</si>
  <si>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</si>
  <si>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</si>
  <si>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</si>
  <si>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</si>
  <si>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</si>
  <si>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</si>
  <si>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</si>
  <si>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</si>
  <si>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</si>
  <si>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</si>
  <si>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</si>
  <si>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</si>
  <si>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</si>
  <si>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</si>
  <si>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</si>
  <si>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</si>
  <si>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</si>
  <si>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</si>
  <si>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</si>
  <si>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</si>
  <si>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</si>
  <si>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</si>
  <si>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</si>
  <si>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</si>
  <si>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</si>
  <si>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</si>
  <si>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</si>
  <si>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</si>
  <si>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</si>
  <si>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</si>
  <si>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</si>
  <si>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</si>
  <si>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</si>
  <si>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</si>
  <si>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</si>
  <si>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</si>
  <si>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</si>
  <si>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</si>
  <si>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</si>
  <si>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</si>
  <si>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</si>
  <si>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</si>
  <si>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</si>
  <si>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</si>
  <si>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</si>
  <si>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</si>
  <si>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</si>
  <si>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</si>
  <si>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</si>
  <si>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</si>
  <si>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</si>
  <si>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</si>
  <si>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</si>
  <si>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</si>
  <si>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</si>
  <si>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</si>
  <si>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</si>
  <si>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</si>
  <si>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</si>
  <si>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</si>
  <si>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</si>
  <si>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</si>
  <si>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</si>
  <si>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</si>
  <si>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</si>
  <si>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</si>
  <si>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</si>
  <si>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</si>
  <si>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</si>
  <si>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</si>
  <si>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</si>
  <si>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</si>
  <si>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</si>
  <si>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</si>
  <si>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</si>
  <si>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</si>
  <si>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</si>
  <si>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</si>
  <si>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</si>
  <si>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</si>
  <si>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</si>
  <si>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</si>
  <si>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</si>
  <si>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</si>
  <si>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</si>
  <si>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</si>
  <si>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</si>
  <si>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</si>
  <si>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</si>
  <si>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</si>
  <si>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</si>
  <si>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</si>
  <si>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</si>
  <si>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</si>
  <si>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</si>
  <si>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</si>
  <si>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</si>
  <si>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</si>
  <si>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</si>
  <si>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</si>
  <si>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</si>
  <si>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</si>
  <si>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</si>
  <si>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</si>
  <si>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</si>
  <si>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</si>
  <si>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</si>
  <si>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</si>
  <si>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</si>
  <si>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</si>
  <si>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</si>
  <si>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</si>
  <si>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</si>
  <si>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</si>
  <si>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</si>
  <si>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</si>
  <si>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</si>
  <si>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</si>
  <si>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</si>
  <si>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</si>
  <si>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</si>
  <si>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</si>
  <si>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</si>
  <si>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</si>
  <si>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</si>
  <si>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</si>
  <si>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</si>
  <si>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</si>
  <si>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</si>
  <si>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</si>
  <si>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</si>
  <si>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</si>
  <si>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</si>
  <si>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</si>
  <si>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</si>
  <si>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</si>
  <si>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</si>
  <si>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</si>
  <si>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</si>
  <si>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</si>
  <si>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</si>
  <si>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</si>
  <si>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</si>
  <si>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</si>
  <si>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</si>
  <si>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</si>
  <si>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</si>
  <si>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</si>
  <si>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</si>
  <si>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</si>
  <si>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</si>
  <si>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</si>
  <si>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</si>
  <si>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</si>
  <si>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</si>
  <si>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</si>
  <si>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</si>
  <si>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</si>
  <si>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</si>
  <si>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</si>
  <si>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</si>
  <si>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</si>
  <si>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</si>
  <si>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</si>
  <si>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</si>
  <si>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</si>
  <si>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</si>
  <si>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</si>
  <si>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</si>
  <si>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</si>
  <si>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</si>
  <si>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</si>
  <si>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</si>
  <si>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</si>
  <si>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</si>
  <si>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</si>
  <si>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</si>
  <si>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</si>
  <si>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</si>
  <si>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</si>
  <si>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</si>
  <si>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</si>
  <si>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</si>
  <si>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</si>
  <si>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</si>
  <si>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</si>
  <si>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</si>
  <si>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</si>
  <si>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</si>
  <si>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</si>
  <si>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</si>
  <si>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</si>
  <si>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</si>
  <si>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</si>
  <si>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</si>
  <si>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</si>
  <si>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</si>
  <si>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</si>
  <si>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</si>
  <si>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</si>
  <si>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</si>
  <si>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</si>
  <si>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</si>
  <si>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</si>
  <si>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</si>
  <si>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</si>
  <si>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</si>
  <si>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</si>
  <si>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</si>
  <si>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</si>
  <si>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</si>
  <si>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</si>
  <si>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</si>
  <si>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</si>
  <si>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</si>
  <si>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</si>
  <si>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</si>
  <si>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</si>
  <si>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</si>
  <si>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</si>
  <si>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</si>
  <si>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</si>
  <si>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</si>
  <si>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</si>
  <si>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</si>
  <si>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</si>
  <si>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</si>
  <si>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</si>
  <si>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</si>
  <si>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</si>
  <si>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</si>
  <si>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</si>
  <si>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</si>
  <si>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</si>
  <si>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</si>
  <si>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</si>
  <si>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</si>
  <si>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</si>
  <si>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</si>
  <si>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</si>
  <si>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</si>
  <si>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</si>
  <si>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</si>
  <si>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</si>
  <si>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</si>
  <si>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</si>
  <si>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</si>
  <si>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</si>
  <si>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</si>
  <si>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</si>
  <si>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</si>
  <si>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</si>
  <si>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</si>
  <si>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</si>
  <si>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</si>
  <si>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</si>
  <si>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</si>
  <si>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</si>
  <si>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</si>
  <si>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</si>
  <si>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</si>
  <si>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</si>
  <si>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</si>
  <si>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</si>
  <si>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</si>
  <si>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</si>
  <si>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</si>
  <si>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</si>
  <si>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</si>
  <si>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</si>
  <si>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</si>
  <si>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</si>
  <si>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</si>
  <si>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</si>
  <si>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</si>
  <si>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</si>
  <si>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</si>
  <si>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</si>
  <si>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</si>
  <si>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</si>
  <si>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</si>
  <si>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</si>
  <si>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Cálculos — tabelas de apoio ao Dashboard</t>
  </si>
  <si>
    <t>1. Parâmetro do filtro (vem da aba Dashboard)</t>
  </si>
  <si>
    <t>Filtro selecionado</t>
  </si>
  <si>
    <t>Critério usado nas fórmulas ("*" = todos)</t>
  </si>
  <si>
    <t>2. KPIs — respondem ao filtro</t>
  </si>
  <si>
    <t>Métrica</t>
  </si>
  <si>
    <t>Valor</t>
  </si>
  <si>
    <t>Lógica</t>
  </si>
  <si>
    <t>Total R$ — EA Play Season Pass</t>
  </si>
  <si>
    <t>Total R$ — Minecraft Season Pass</t>
  </si>
  <si>
    <t>Game Pass — Auto Renewal YES (qtd)</t>
  </si>
  <si>
    <t>Game Pass — Auto Renewal NO (qtd)</t>
  </si>
  <si>
    <t>Total de assinantes no filtro</t>
  </si>
  <si>
    <t>% Auto Renewal YES</t>
  </si>
  <si>
    <t>% Auto Renewal NO</t>
  </si>
  <si>
    <t>SOMASES(Preço EA; EA="Yes"; Tipo=critério)</t>
  </si>
  <si>
    <t>SOMASES(Preço Minecraft; Minecraft="Yes"; Tipo=critério)</t>
  </si>
  <si>
    <t>CONT.SES(Auto Renewal="Yes"; Tipo=critério)</t>
  </si>
  <si>
    <t>CONT.SES(Auto Renewal="No"; Tipo=critério)</t>
  </si>
  <si>
    <t>CONT.SES(Tipo=critério)</t>
  </si>
  <si>
    <t>3. Resumo por tipo de faturamento — sem filtro</t>
  </si>
  <si>
    <t>EA Play (R$)</t>
  </si>
  <si>
    <t>Minecraft (R$)</t>
  </si>
  <si>
    <t>Auto Renewal YES</t>
  </si>
  <si>
    <t>Auto Renewal NO</t>
  </si>
  <si>
    <t>Total assinantes</t>
  </si>
  <si>
    <t>Total</t>
  </si>
  <si>
    <t>4. Dados do gráfico (respondem ao filtro)</t>
  </si>
  <si>
    <t>Categoria</t>
  </si>
  <si>
    <t>Qtd</t>
  </si>
  <si>
    <t>Yes (renovação ativa)</t>
  </si>
  <si>
    <t>No (sem renovação)</t>
  </si>
  <si>
    <t>5. Checagens de consistência</t>
  </si>
  <si>
    <t>Soma EA por tipo = soma da base</t>
  </si>
  <si>
    <t>Soma Minecraft por tipo = soma da base</t>
  </si>
  <si>
    <t>Total de assinantes = linhas da base</t>
  </si>
  <si>
    <t>Obs.: as fórmulas leem as linhas 2 a 5000 da base; novas linhas entram automaticamente.</t>
  </si>
  <si>
    <t>Xbox Game Pass  |  Dashboard de Assinaturas</t>
  </si>
  <si>
    <t>EA Play &amp; Minecraft Season Pass</t>
  </si>
  <si>
    <t>Tipo de faturamento ▸</t>
  </si>
  <si>
    <t>◂ clique na seta para filtrar</t>
  </si>
  <si>
    <t>Assinantes no filtro:</t>
  </si>
  <si>
    <t>TOTAL R$ — EA PLAY SEASON PASS</t>
  </si>
  <si>
    <t>Valor acumulado no filtro</t>
  </si>
  <si>
    <t>TOTAL R$ — MINECRAFT SEASON PASS</t>
  </si>
  <si>
    <t>GAME PASS — AUTO RENEWAL: YES</t>
  </si>
  <si>
    <t>GAME PASS — AUTO RENEWAL: NO</t>
  </si>
  <si>
    <t>Distribuição do Xbox Game Pass — Auto Renewal</t>
  </si>
  <si>
    <t>Detalhe por status</t>
  </si>
  <si>
    <t>Status</t>
  </si>
  <si>
    <t>% do total</t>
  </si>
  <si>
    <t>Yes — renovação ativa</t>
  </si>
  <si>
    <t>No — sem renovação</t>
  </si>
  <si>
    <t>Como usar</t>
  </si>
  <si>
    <t>• O filtro atualiza os cartões, o gráfico e a tabela de status.</t>
  </si>
  <si>
    <t>• Escolha "Todos" para ver o consolidado da base.</t>
  </si>
  <si>
    <t>• A tabela inferior é fixa e destaca a linha do tipo escolhido.</t>
  </si>
  <si>
    <t>Totais por tipo de faturamento (sem filtro)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</si>
</sst>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0.0%"/>
  </numFmts>
  <fonts count="1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1F2937"/>
      <name val="Arial"/>
      <family val="2"/>
    </font>
    <font>
      <b/>
      <sz val="16"/>
      <color rgb="FF107C41"/>
      <name val="Arial"/>
      <family val="2"/>
    </font>
    <font>
      <b/>
      <sz val="10"/>
      <color rgb="FFFFFFFF"/>
      <name val="Arial"/>
      <family val="2"/>
    </font>
    <font>
      <b/>
      <sz val="10"/>
      <color rgb="FF1F2937"/>
      <name val="Arial"/>
      <family val="2"/>
    </font>
    <font>
      <i/>
      <sz val="10"/>
      <color rgb="FF6B7280"/>
      <name val="Arial"/>
      <family val="2"/>
    </font>
    <font>
      <i/>
      <sz val="9"/>
      <color rgb="FF1F2937"/>
      <name val="Arial"/>
      <family val="2"/>
    </font>
    <font>
      <b/>
      <sz val="20"/>
      <color rgb="FFFFFFFF"/>
      <name val="Arial"/>
      <family val="2"/>
    </font>
    <font>
      <sz val="10"/>
      <color rgb="FFD1FAE5"/>
      <name val="Arial"/>
      <family val="2"/>
    </font>
    <font>
      <b/>
      <sz val="10"/>
      <color rgb="FF107C41"/>
      <name val="Arial"/>
      <family val="2"/>
    </font>
    <font>
      <b/>
      <sz val="12"/>
      <color rgb="FF107C41"/>
      <name val="Arial"/>
      <family val="2"/>
    </font>
    <font>
      <b/>
      <sz val="9"/>
      <color rgb="FFFFFFFF"/>
      <name val="Arial"/>
      <family val="2"/>
    </font>
    <font>
      <b/>
      <sz val="22"/>
      <color rgb="FF107C41"/>
      <name val="Arial"/>
      <family val="2"/>
    </font>
    <font>
      <sz val="9"/>
      <color rgb="FF6B7280"/>
      <name val="Arial"/>
      <family val="2"/>
    </font>
    <font>
      <b/>
      <sz val="22"/>
      <color rgb="FF5F636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107C4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6F5"/>
        <bgColor indexed="64"/>
      </patternFill>
    </fill>
    <fill>
      <patternFill patternType="solid">
        <fgColor rgb="FF5F636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rgb="FF107C41"/>
      </left>
      <right style="medium">
        <color rgb="FF107C41"/>
      </right>
      <top style="medium">
        <color rgb="FF107C41"/>
      </top>
      <bottom style="medium">
        <color rgb="FF107C41"/>
      </bottom>
      <diagonal/>
    </border>
    <border>
      <left style="medium">
        <color rgb="FF107C41"/>
      </left>
      <right/>
      <top/>
      <bottom/>
      <diagonal/>
    </border>
    <border>
      <left style="thick">
        <color rgb="FFFFFFFF"/>
      </left>
      <right/>
      <top/>
      <bottom/>
      <diagonal/>
    </border>
    <border>
      <left/>
      <right style="thick">
        <color rgb="FFFFFFFF"/>
      </right>
      <top/>
      <bottom/>
      <diagonal/>
    </border>
    <border>
      <left/>
      <right/>
      <top/>
      <bottom style="medium">
        <color rgb="FF22C55E"/>
      </bottom>
      <diagonal/>
    </border>
    <border>
      <left/>
      <right/>
      <top style="medium">
        <color rgb="FF22C55E"/>
      </top>
      <bottom/>
      <diagonal/>
    </border>
    <border>
      <left/>
      <right/>
      <top/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8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8" borderId="0" xfId="0" applyFont="1" applyFill="1"/>
    <xf numFmtId="0" fontId="7" fillId="0" borderId="0" xfId="0" applyFont="1" applyAlignment="1">
      <alignment horizontal="center"/>
    </xf>
    <xf numFmtId="0" fontId="7" fillId="7" borderId="0" xfId="0" applyFont="1" applyFill="1" applyAlignment="1">
      <alignment horizontal="center"/>
    </xf>
    <xf numFmtId="0" fontId="7" fillId="7" borderId="0" xfId="0" applyFont="1" applyFill="1" applyAlignment="1">
      <alignment horizontal="left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  <xf numFmtId="0" fontId="10" fillId="8" borderId="0" xfId="0" applyFont="1" applyFill="1" applyAlignment="1">
      <alignment horizontal="left" vertical="center" indent="1"/>
    </xf>
    <xf numFmtId="0" fontId="4" fillId="8" borderId="0" xfId="0" applyFont="1" applyFill="1" applyAlignment="1">
      <alignment horizontal="left" vertical="center" indent="1"/>
    </xf>
    <xf numFmtId="0" fontId="11" fillId="8" borderId="0" xfId="0" applyFont="1" applyFill="1" applyAlignment="1">
      <alignment horizontal="right" vertical="center" indent="1"/>
    </xf>
    <xf numFmtId="0" fontId="4" fillId="8" borderId="0" xfId="0" applyFont="1" applyFill="1" applyAlignment="1">
      <alignment horizontal="right" vertical="center" indent="1"/>
    </xf>
    <xf numFmtId="0" fontId="4" fillId="4" borderId="0" xfId="0" applyFont="1" applyFill="1"/>
    <xf numFmtId="0" fontId="4" fillId="0" borderId="0" xfId="0" applyFont="1"/>
    <xf numFmtId="0" fontId="12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3" fillId="9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3" fontId="13" fillId="0" borderId="0" xfId="0" applyNumberFormat="1" applyFont="1" applyAlignment="1">
      <alignment horizontal="left" indent="1"/>
    </xf>
    <xf numFmtId="0" fontId="4" fillId="10" borderId="0" xfId="0" applyFont="1" applyFill="1" applyAlignment="1">
      <alignment horizontal="left" vertical="center" indent="1"/>
    </xf>
    <xf numFmtId="0" fontId="14" fillId="8" borderId="4" xfId="0" applyFont="1" applyFill="1" applyBorder="1" applyAlignment="1">
      <alignment horizontal="left" vertical="center" indent="1"/>
    </xf>
    <xf numFmtId="164" fontId="15" fillId="10" borderId="4" xfId="0" applyNumberFormat="1" applyFont="1" applyFill="1" applyBorder="1" applyAlignment="1">
      <alignment horizontal="left" vertical="center" indent="1"/>
    </xf>
    <xf numFmtId="0" fontId="4" fillId="10" borderId="4" xfId="0" applyFont="1" applyFill="1" applyBorder="1" applyAlignment="1">
      <alignment horizontal="left" vertical="center" indent="1"/>
    </xf>
    <xf numFmtId="0" fontId="16" fillId="10" borderId="4" xfId="0" applyFont="1" applyFill="1" applyBorder="1" applyAlignment="1">
      <alignment horizontal="left" vertical="center" indent="1"/>
    </xf>
    <xf numFmtId="0" fontId="4" fillId="10" borderId="5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10" borderId="0" xfId="0" applyFont="1" applyFill="1" applyBorder="1"/>
    <xf numFmtId="0" fontId="4" fillId="10" borderId="0" xfId="0" applyFont="1" applyFill="1" applyBorder="1" applyAlignment="1">
      <alignment horizontal="left" vertical="center" indent="1"/>
    </xf>
    <xf numFmtId="3" fontId="15" fillId="10" borderId="4" xfId="0" applyNumberFormat="1" applyFont="1" applyFill="1" applyBorder="1" applyAlignment="1">
      <alignment horizontal="left" vertical="center" indent="1"/>
    </xf>
    <xf numFmtId="0" fontId="14" fillId="11" borderId="4" xfId="0" applyFont="1" applyFill="1" applyBorder="1" applyAlignment="1">
      <alignment horizontal="left" vertical="center" indent="1"/>
    </xf>
    <xf numFmtId="0" fontId="4" fillId="11" borderId="0" xfId="0" applyFont="1" applyFill="1" applyAlignment="1">
      <alignment horizontal="left" vertical="center" indent="1"/>
    </xf>
    <xf numFmtId="3" fontId="17" fillId="10" borderId="4" xfId="0" applyNumberFormat="1" applyFont="1" applyFill="1" applyBorder="1" applyAlignment="1">
      <alignment horizontal="left" vertical="center" indent="1"/>
    </xf>
    <xf numFmtId="0" fontId="4" fillId="11" borderId="5" xfId="0" applyFont="1" applyFill="1" applyBorder="1" applyAlignment="1">
      <alignment horizontal="left" vertical="center" indent="1"/>
    </xf>
    <xf numFmtId="0" fontId="13" fillId="0" borderId="6" xfId="0" applyFont="1" applyBorder="1" applyAlignment="1">
      <alignment vertical="center"/>
    </xf>
    <xf numFmtId="0" fontId="7" fillId="7" borderId="7" xfId="0" applyFont="1" applyFill="1" applyBorder="1" applyAlignment="1">
      <alignment horizontal="center"/>
    </xf>
    <xf numFmtId="0" fontId="7" fillId="7" borderId="7" xfId="0" applyFont="1" applyFill="1" applyBorder="1" applyAlignment="1">
      <alignment horizontal="left" indent="1"/>
    </xf>
    <xf numFmtId="3" fontId="4" fillId="0" borderId="9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 vertical="center"/>
    </xf>
    <xf numFmtId="3" fontId="4" fillId="0" borderId="9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3" fontId="7" fillId="0" borderId="10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3" fontId="12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165" fontId="12" fillId="0" borderId="0" xfId="0" applyNumberFormat="1" applyFont="1" applyBorder="1" applyAlignment="1">
      <alignment horizontal="center" vertical="center"/>
    </xf>
    <xf numFmtId="0" fontId="12" fillId="0" borderId="0" xfId="0" applyFont="1"/>
    <xf numFmtId="0" fontId="16" fillId="0" borderId="0" xfId="0" applyFont="1"/>
    <xf numFmtId="0" fontId="6" fillId="8" borderId="7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4" fillId="0" borderId="0" xfId="0" applyNumberFormat="1" applyFont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3" fontId="7" fillId="0" borderId="10" xfId="0" applyNumberFormat="1" applyFont="1" applyBorder="1" applyAlignment="1">
      <alignment horizontal="center"/>
    </xf>
    <xf numFmtId="0" fontId="6" fillId="8" borderId="7" xfId="0" applyFont="1" applyFill="1" applyBorder="1" applyAlignment="1">
      <alignment horizontal="left" indent="1"/>
    </xf>
    <xf numFmtId="0" fontId="4" fillId="8" borderId="7" xfId="0" applyFont="1" applyFill="1" applyBorder="1" applyAlignment="1">
      <alignment horizontal="left" indent="1"/>
    </xf>
    <xf numFmtId="3" fontId="4" fillId="0" borderId="0" xfId="0" applyNumberFormat="1" applyFont="1" applyBorder="1" applyAlignment="1">
      <alignment horizontal="left" indent="1"/>
    </xf>
    <xf numFmtId="0" fontId="4" fillId="0" borderId="0" xfId="0" applyFont="1" applyBorder="1" applyAlignment="1">
      <alignment horizontal="left" indent="1"/>
    </xf>
    <xf numFmtId="0" fontId="0" fillId="0" borderId="0" xfId="0" applyAlignment="1">
      <alignment horizontal="left" indent="1"/>
    </xf>
    <xf numFmtId="0" fontId="0" fillId="0" borderId="8" xfId="0" applyBorder="1" applyAlignment="1">
      <alignment horizontal="left" indent="1"/>
    </xf>
    <xf numFmtId="0" fontId="9" fillId="0" borderId="0" xfId="0" applyFont="1"/>
  </cellXfs>
  <cellStyles count="3">
    <cellStyle name="Moeda" xfId="2" builtinId="4"/>
    <cellStyle name="Normal" xfId="0" builtinId="0"/>
    <cellStyle name="Título 1" xfId="1" builtinId="16"/>
  </cellStyles>
  <dxfs count="15">
    <dxf>
      <font>
        <b/>
        <i val="0"/>
        <color rgb="FF107C41"/>
      </font>
      <fill>
        <patternFill>
          <bgColor rgb="FFD1FAE5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Auto Renewal</c:v>
          </c:tx>
          <c:spPr>
            <a:solidFill>
              <a:srgbClr val="22C55E"/>
            </a:solidFill>
          </c:spPr>
          <c:invertIfNegative val="0"/>
          <c:dPt>
            <c:idx val="1"/>
            <c:invertIfNegative val="0"/>
            <c:bubble3D val="0"/>
            <c:spPr>
              <a:solidFill>
                <a:srgbClr val="9AA0A6"/>
              </a:solidFill>
            </c:spPr>
            <c:extLst>
              <c:ext xmlns:c16="http://schemas.microsoft.com/office/drawing/2014/chart" uri="{C3380CC4-5D6E-409C-BE32-E72D297353CC}">
                <c16:uniqueId val="{00000002-CF35-4178-85F0-A24E645BE5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C̳álculos!$B$27:$B$28</c:f>
              <c:strCache>
                <c:ptCount val="2"/>
                <c:pt idx="0">
                  <c:v>Yes (renovação ativa)</c:v>
                </c:pt>
                <c:pt idx="1">
                  <c:v>No (sem renovação)</c:v>
                </c:pt>
              </c:strCache>
            </c:strRef>
          </c:cat>
          <c:val>
            <c:numRef>
              <c:f>C̳álculos!$C$27:$C$28</c:f>
              <c:numCache>
                <c:formatCode>#,##0</c:formatCode>
                <c:ptCount val="2"/>
                <c:pt idx="0">
                  <c:v>60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35-4178-85F0-A24E645BE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777098976"/>
        <c:axId val="1726915728"/>
      </c:barChart>
      <c:catAx>
        <c:axId val="177709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6915728"/>
        <c:crosses val="autoZero"/>
        <c:auto val="1"/>
        <c:lblAlgn val="ctr"/>
        <c:lblOffset val="100"/>
        <c:noMultiLvlLbl val="0"/>
      </c:catAx>
      <c:valAx>
        <c:axId val="1726915728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77709897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133350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133350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247650</xdr:rowOff>
    </xdr:from>
    <xdr:to>
      <xdr:col>5</xdr:col>
      <xdr:colOff>693737</xdr:colOff>
      <xdr:row>19</xdr:row>
      <xdr:rowOff>0</xdr:rowOff>
    </xdr:to>
    <xdr:graphicFrame macro="">
      <xdr:nvGraphicFramePr>
        <xdr:cNvPr id="2" name="grfAutoRenewal">
          <a:extLst>
            <a:ext uri="{FF2B5EF4-FFF2-40B4-BE49-F238E27FC236}">
              <a16:creationId xmlns:a16="http://schemas.microsoft.com/office/drawing/2014/main" id="{ABDC56EF-9010-3A24-DB2D-E51BDA465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4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3"/>
    <tableColumn id="2" xr3:uid="{53DD39D0-2220-4121-9E9D-4EAA7E151C0F}" name="Name" dataDxfId="12"/>
    <tableColumn id="3" xr3:uid="{4F5FF271-4C57-4BE0-8F2C-F82C8551625C}" name="Plan" dataDxfId="11"/>
    <tableColumn id="4" xr3:uid="{8C17EB93-79B9-4E55-B8F7-BEB82F8253E9}" name="Start Date" dataDxfId="10"/>
    <tableColumn id="5" xr3:uid="{48CEDF9B-1689-482A-A828-5CCE7713264A}" name="Auto Renewal" dataDxfId="9"/>
    <tableColumn id="6" xr3:uid="{78B82374-9AA7-4E38-AE4F-78CDE6C83720}" name="Subscription Price" dataDxfId="8" dataCellStyle="Moeda"/>
    <tableColumn id="7" xr3:uid="{F2433F68-AF33-49D0-B1FB-19A396074EDE}" name="Subscription Type" dataDxfId="7"/>
    <tableColumn id="8" xr3:uid="{FD4D9C95-F6E5-4933-9068-A71FF7DF9343}" name="EA Play Season Pass" dataDxfId="6"/>
    <tableColumn id="13" xr3:uid="{978DD0D2-834E-4CE4-A39B-30976086932F}" name="EA Play Season Pass_x000a_Price" dataDxfId="5" dataCellStyle="Moeda"/>
    <tableColumn id="9" xr3:uid="{6E29F111-C395-4580-9DAD-3407D9E8B1A4}" name="Minecraft Season Pass" dataDxfId="4"/>
    <tableColumn id="10" xr3:uid="{EF544EAA-7F25-4FD5-A10E-8E62804DB9E3}" name="Minecraft Season Pass Price" dataDxfId="3" dataCellStyle="Moeda"/>
    <tableColumn id="11" xr3:uid="{7F6EB64A-1F07-4E48-9F0F-AC7D9DCD26F8}" name="Coupon Value" dataDxfId="2" dataCellStyle="Moeda"/>
    <tableColumn id="12" xr3:uid="{2B04ABC8-DE6F-426E-ADC0-D8AFC68CA58E}" name="Total Value" dataDxfId="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 codeName="Planilha1">
    <tabColor theme="3" tint="0.749992370372631"/>
  </sheetPr>
  <dimension ref="B3:P21"/>
  <sheetViews>
    <sheetView showGridLines="0" showRowColHeaders="0" zoomScaleNormal="100" workbookViewId="0">
      <selection activeCell="L7" sqref="L7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8</v>
      </c>
      <c r="E5" s="7" t="s">
        <v>6</v>
      </c>
      <c r="F5" t="s">
        <v>7</v>
      </c>
    </row>
    <row r="6" spans="2:16" x14ac:dyDescent="0.35">
      <c r="B6" s="4" t="s">
        <v>3</v>
      </c>
      <c r="C6" t="s">
        <v>8</v>
      </c>
    </row>
    <row r="7" spans="2:16" x14ac:dyDescent="0.35">
      <c r="B7" s="5" t="s">
        <v>4</v>
      </c>
      <c r="C7" t="s">
        <v>9</v>
      </c>
    </row>
    <row r="8" spans="2:16" x14ac:dyDescent="0.35">
      <c r="B8" s="6" t="s">
        <v>5</v>
      </c>
      <c r="C8" t="s">
        <v>9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 codeName="Planilha2">
    <tabColor theme="3" tint="0.749992370372631"/>
  </sheetPr>
  <dimension ref="A1:M296"/>
  <sheetViews>
    <sheetView zoomScale="90" zoomScaleNormal="90" workbookViewId="0">
      <selection activeCell="I2" sqref="I2:I294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 codeName="Planilha3">
    <tabColor theme="3" tint="0.749992370372631"/>
  </sheetPr>
  <dimension ref="B2:G35"/>
  <sheetViews>
    <sheetView showGridLines="0" topLeftCell="A16" workbookViewId="0">
      <selection activeCell="C7" sqref="C7"/>
    </sheetView>
  </sheetViews>
  <sheetFormatPr defaultRowHeight="12.5" x14ac:dyDescent="0.25"/>
  <cols>
    <col min="1" max="1" width="2.6328125" style="12" customWidth="1"/>
    <col min="2" max="2" width="44.6328125" style="12" customWidth="1"/>
    <col min="3" max="7" width="20.6328125" style="12" customWidth="1"/>
    <col min="8" max="8" width="5.453125" style="12" customWidth="1"/>
    <col min="9" max="9" width="21.1796875" style="12" bestFit="1" customWidth="1"/>
    <col min="10" max="11" width="35.1796875" style="12" bestFit="1" customWidth="1"/>
    <col min="12" max="15" width="9.7265625" style="12" bestFit="1" customWidth="1"/>
    <col min="16" max="16" width="15.54296875" style="12" bestFit="1" customWidth="1"/>
    <col min="17" max="17" width="12.1796875" style="12" bestFit="1" customWidth="1"/>
    <col min="18" max="16384" width="8.7265625" style="12"/>
  </cols>
  <sheetData>
    <row r="2" spans="2:7" ht="20" x14ac:dyDescent="0.4">
      <c r="B2" s="13" t="s">
        <v>313</v>
      </c>
    </row>
    <row r="4" spans="2:7" ht="13" x14ac:dyDescent="0.3">
      <c r="B4" s="14" t="s">
        <v>314</v>
      </c>
      <c r="C4" s="14"/>
      <c r="D4" s="14"/>
      <c r="E4" s="14"/>
      <c r="F4" s="14"/>
      <c r="G4" s="14"/>
    </row>
    <row r="5" spans="2:7" ht="13" x14ac:dyDescent="0.3">
      <c r="B5" s="12" t="s">
        <v>315</v>
      </c>
      <c r="C5" s="15" t="str">
        <f>D̳ashboard!$D$5</f>
        <v>Quarterly</v>
      </c>
    </row>
    <row r="6" spans="2:7" ht="13" x14ac:dyDescent="0.3">
      <c r="B6" s="12" t="s">
        <v>316</v>
      </c>
      <c r="C6" s="15" t="str">
        <f>IF(C5="Todos","*",C5)</f>
        <v>Quarterly</v>
      </c>
    </row>
    <row r="8" spans="2:7" ht="13" x14ac:dyDescent="0.3">
      <c r="B8" s="14" t="s">
        <v>317</v>
      </c>
      <c r="C8" s="14"/>
      <c r="D8" s="14"/>
      <c r="E8" s="14"/>
      <c r="F8" s="14"/>
      <c r="G8" s="14"/>
    </row>
    <row r="9" spans="2:7" ht="13" x14ac:dyDescent="0.3">
      <c r="B9" s="17" t="s">
        <v>318</v>
      </c>
      <c r="C9" s="16" t="s">
        <v>319</v>
      </c>
      <c r="D9" s="16" t="s">
        <v>320</v>
      </c>
    </row>
    <row r="10" spans="2:7" ht="13" x14ac:dyDescent="0.3">
      <c r="B10" s="12" t="s">
        <v>321</v>
      </c>
      <c r="C10" s="20">
        <f>SUMIFS(B̳ases!$I$2:$I$5000,B̳ases!$H$2:$H$5000,"Yes",B̳ases!$G$2:$G$5000,$C$6)</f>
        <v>990</v>
      </c>
      <c r="D10" s="23" t="s">
        <v>328</v>
      </c>
    </row>
    <row r="11" spans="2:7" ht="13" x14ac:dyDescent="0.3">
      <c r="B11" s="12" t="s">
        <v>322</v>
      </c>
      <c r="C11" s="20">
        <f>SUMIFS(B̳ases!$K$2:$K$5000,B̳ases!$J$2:$J$5000,"Yes",B̳ases!$G$2:$G$5000,$C$6)</f>
        <v>1140</v>
      </c>
      <c r="D11" s="23" t="s">
        <v>329</v>
      </c>
    </row>
    <row r="12" spans="2:7" ht="13" x14ac:dyDescent="0.3">
      <c r="B12" s="12" t="s">
        <v>323</v>
      </c>
      <c r="C12" s="21">
        <f>COUNTIFS(B̳ases!$E$2:$E$5000,"Yes",B̳ases!$G$2:$G$5000,$C$6)</f>
        <v>60</v>
      </c>
      <c r="D12" s="23" t="s">
        <v>330</v>
      </c>
    </row>
    <row r="13" spans="2:7" ht="13" x14ac:dyDescent="0.3">
      <c r="B13" s="12" t="s">
        <v>324</v>
      </c>
      <c r="C13" s="21">
        <f>COUNTIFS(B̳ases!$E$2:$E$5000,"No",B̳ases!$G$2:$G$5000,$C$6)</f>
        <v>25</v>
      </c>
      <c r="D13" s="23" t="s">
        <v>331</v>
      </c>
    </row>
    <row r="14" spans="2:7" ht="13" x14ac:dyDescent="0.3">
      <c r="B14" s="12" t="s">
        <v>325</v>
      </c>
      <c r="C14" s="21">
        <f>COUNTIFS(B̳ases!$G$2:$G$5000,$C$6)</f>
        <v>85</v>
      </c>
      <c r="D14" s="23" t="s">
        <v>332</v>
      </c>
    </row>
    <row r="15" spans="2:7" ht="13" x14ac:dyDescent="0.3">
      <c r="B15" s="12" t="s">
        <v>326</v>
      </c>
      <c r="C15" s="22">
        <f>IFERROR(C12/C14,0)</f>
        <v>0.70588235294117652</v>
      </c>
      <c r="D15" s="23"/>
    </row>
    <row r="16" spans="2:7" ht="13" x14ac:dyDescent="0.3">
      <c r="B16" s="12" t="s">
        <v>327</v>
      </c>
      <c r="C16" s="22">
        <f>IFERROR(C13/C14,0)</f>
        <v>0.29411764705882354</v>
      </c>
      <c r="D16" s="23"/>
    </row>
    <row r="18" spans="2:7" ht="13" x14ac:dyDescent="0.3">
      <c r="B18" s="14" t="s">
        <v>333</v>
      </c>
      <c r="C18" s="14"/>
      <c r="D18" s="14"/>
      <c r="E18" s="14"/>
      <c r="F18" s="14"/>
      <c r="G18" s="14"/>
    </row>
    <row r="19" spans="2:7" ht="13" x14ac:dyDescent="0.3">
      <c r="B19" s="17" t="s">
        <v>16</v>
      </c>
      <c r="C19" s="16" t="s">
        <v>334</v>
      </c>
      <c r="D19" s="16" t="s">
        <v>335</v>
      </c>
      <c r="E19" s="16" t="s">
        <v>336</v>
      </c>
      <c r="F19" s="16" t="s">
        <v>337</v>
      </c>
      <c r="G19" s="16" t="s">
        <v>338</v>
      </c>
    </row>
    <row r="20" spans="2:7" x14ac:dyDescent="0.25">
      <c r="B20" s="12" t="s">
        <v>24</v>
      </c>
      <c r="C20" s="18">
        <f>SUMIFS(B̳ases!$I$2:$I$5000,B̳ases!$H$2:$H$5000,"Yes",B̳ases!$G$2:$G$5000,$B20)</f>
        <v>600</v>
      </c>
      <c r="D20" s="18">
        <f>SUMIFS(B̳ases!$K$2:$K$5000,B̳ases!$J$2:$J$5000,"Yes",B̳ases!$G$2:$G$5000,$B20)</f>
        <v>940</v>
      </c>
      <c r="E20" s="19">
        <f>COUNTIFS(B̳ases!$E$2:$E$5000,"Yes",B̳ases!$G$2:$G$5000,$B20)</f>
        <v>60</v>
      </c>
      <c r="F20" s="19">
        <f>COUNTIFS(B̳ases!$E$2:$E$5000,"No",B̳ases!$G$2:$G$5000,$B20)</f>
        <v>11</v>
      </c>
      <c r="G20" s="19">
        <f>COUNTIFS(B̳ases!$G$2:$G$5000,$B20)</f>
        <v>71</v>
      </c>
    </row>
    <row r="21" spans="2:7" x14ac:dyDescent="0.25">
      <c r="B21" s="12" t="s">
        <v>20</v>
      </c>
      <c r="C21" s="18">
        <f>SUMIFS(B̳ases!$I$2:$I$5000,B̳ases!$H$2:$H$5000,"Yes",B̳ases!$G$2:$G$5000,$B21)</f>
        <v>1350</v>
      </c>
      <c r="D21" s="18">
        <f>SUMIFS(B̳ases!$K$2:$K$5000,B̳ases!$J$2:$J$5000,"Yes",B̳ases!$G$2:$G$5000,$B21)</f>
        <v>1800</v>
      </c>
      <c r="E21" s="19">
        <f>COUNTIFS(B̳ases!$E$2:$E$5000,"Yes",B̳ases!$G$2:$G$5000,$B21)</f>
        <v>28</v>
      </c>
      <c r="F21" s="19">
        <f>COUNTIFS(B̳ases!$E$2:$E$5000,"No",B̳ases!$G$2:$G$5000,$B21)</f>
        <v>111</v>
      </c>
      <c r="G21" s="19">
        <f>COUNTIFS(B̳ases!$G$2:$G$5000,$B21)</f>
        <v>139</v>
      </c>
    </row>
    <row r="22" spans="2:7" x14ac:dyDescent="0.25">
      <c r="B22" s="12" t="s">
        <v>27</v>
      </c>
      <c r="C22" s="18">
        <f>SUMIFS(B̳ases!$I$2:$I$5000,B̳ases!$H$2:$H$5000,"Yes",B̳ases!$G$2:$G$5000,$B22)</f>
        <v>990</v>
      </c>
      <c r="D22" s="18">
        <f>SUMIFS(B̳ases!$K$2:$K$5000,B̳ases!$J$2:$J$5000,"Yes",B̳ases!$G$2:$G$5000,$B22)</f>
        <v>1140</v>
      </c>
      <c r="E22" s="19">
        <f>COUNTIFS(B̳ases!$E$2:$E$5000,"Yes",B̳ases!$G$2:$G$5000,$B22)</f>
        <v>60</v>
      </c>
      <c r="F22" s="19">
        <f>COUNTIFS(B̳ases!$E$2:$E$5000,"No",B̳ases!$G$2:$G$5000,$B22)</f>
        <v>25</v>
      </c>
      <c r="G22" s="19">
        <f>COUNTIFS(B̳ases!$G$2:$G$5000,$B22)</f>
        <v>85</v>
      </c>
    </row>
    <row r="23" spans="2:7" ht="13" x14ac:dyDescent="0.3">
      <c r="B23" s="24" t="s">
        <v>339</v>
      </c>
      <c r="C23" s="20">
        <f t="shared" ref="C23:G23" si="0">SUM(C20:C22)</f>
        <v>2940</v>
      </c>
      <c r="D23" s="20">
        <f t="shared" si="0"/>
        <v>3880</v>
      </c>
      <c r="E23" s="21">
        <f t="shared" si="0"/>
        <v>148</v>
      </c>
      <c r="F23" s="21">
        <f t="shared" si="0"/>
        <v>147</v>
      </c>
      <c r="G23" s="21">
        <f t="shared" si="0"/>
        <v>295</v>
      </c>
    </row>
    <row r="25" spans="2:7" ht="13" x14ac:dyDescent="0.3">
      <c r="B25" s="14" t="s">
        <v>340</v>
      </c>
      <c r="C25" s="14"/>
      <c r="D25" s="14"/>
      <c r="E25" s="14"/>
      <c r="F25" s="14"/>
      <c r="G25" s="14"/>
    </row>
    <row r="26" spans="2:7" ht="13" x14ac:dyDescent="0.3">
      <c r="B26" s="17" t="s">
        <v>341</v>
      </c>
      <c r="C26" s="16" t="s">
        <v>342</v>
      </c>
    </row>
    <row r="27" spans="2:7" x14ac:dyDescent="0.25">
      <c r="B27" s="12" t="s">
        <v>343</v>
      </c>
      <c r="C27" s="19">
        <f>C12</f>
        <v>60</v>
      </c>
    </row>
    <row r="28" spans="2:7" x14ac:dyDescent="0.25">
      <c r="B28" s="12" t="s">
        <v>344</v>
      </c>
      <c r="C28" s="19">
        <f>C13</f>
        <v>25</v>
      </c>
    </row>
    <row r="30" spans="2:7" ht="13" x14ac:dyDescent="0.3">
      <c r="B30" s="14" t="s">
        <v>345</v>
      </c>
      <c r="C30" s="14"/>
      <c r="D30" s="14"/>
      <c r="E30" s="14"/>
      <c r="F30" s="14"/>
      <c r="G30" s="14"/>
    </row>
    <row r="31" spans="2:7" ht="13" x14ac:dyDescent="0.3">
      <c r="B31" s="12" t="s">
        <v>346</v>
      </c>
      <c r="C31" s="15" t="str">
        <f>IF(ROUND(C23-SUM(B̳ases!$I$2:$I$5000),2)=0,"OK","VERIFICAR")</f>
        <v>OK</v>
      </c>
    </row>
    <row r="32" spans="2:7" ht="13" x14ac:dyDescent="0.3">
      <c r="B32" s="12" t="s">
        <v>347</v>
      </c>
      <c r="C32" s="15" t="str">
        <f>IF(ROUND(D23-SUM(B̳ases!$K$2:$K$5000),2)=0,"OK","VERIFICAR")</f>
        <v>OK</v>
      </c>
    </row>
    <row r="33" spans="2:3" ht="13" x14ac:dyDescent="0.3">
      <c r="B33" s="12" t="s">
        <v>348</v>
      </c>
      <c r="C33" s="15" t="str">
        <f>IF(G23=COUNTA(B̳ases!$A$2:$A$5000),"OK","VERIFICAR")</f>
        <v>OK</v>
      </c>
    </row>
    <row r="35" spans="2:3" ht="13" x14ac:dyDescent="0.3">
      <c r="B35" s="25" t="s">
        <v>349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 codeName="Planilha5">
    <tabColor rgb="FF107C41"/>
    <pageSetUpPr fitToPage="1"/>
  </sheetPr>
  <dimension ref="B1:M40"/>
  <sheetViews>
    <sheetView showGridLines="0" showRowColHeaders="0" tabSelected="1" zoomScale="80" zoomScaleNormal="80" workbookViewId="0">
      <selection activeCell="O6" sqref="O6"/>
    </sheetView>
  </sheetViews>
  <sheetFormatPr defaultRowHeight="12.5" x14ac:dyDescent="0.25"/>
  <cols>
    <col min="1" max="1" width="2.6328125" style="12" customWidth="1"/>
    <col min="2" max="13" width="13.1796875" style="12" customWidth="1"/>
    <col min="14" max="14" width="2.6328125" style="12" customWidth="1"/>
    <col min="15" max="16384" width="8.7265625" style="12"/>
  </cols>
  <sheetData>
    <row r="1" spans="2:13" ht="8" customHeight="1" x14ac:dyDescent="0.25"/>
    <row r="2" spans="2:13" ht="26" customHeight="1" x14ac:dyDescent="0.25">
      <c r="B2" s="26" t="s">
        <v>350</v>
      </c>
      <c r="C2" s="27"/>
      <c r="D2" s="27"/>
      <c r="E2" s="27"/>
      <c r="F2" s="27"/>
      <c r="G2" s="27"/>
      <c r="H2" s="27"/>
      <c r="I2" s="27"/>
      <c r="J2" s="28" t="s">
        <v>351</v>
      </c>
      <c r="K2" s="29"/>
      <c r="L2" s="29"/>
      <c r="M2" s="29"/>
    </row>
    <row r="3" spans="2:13" ht="20" customHeight="1" x14ac:dyDescent="0.25">
      <c r="B3" s="27"/>
      <c r="C3" s="27"/>
      <c r="D3" s="27"/>
      <c r="E3" s="27"/>
      <c r="F3" s="27"/>
      <c r="G3" s="27"/>
      <c r="H3" s="27"/>
      <c r="I3" s="27"/>
      <c r="J3" s="29"/>
      <c r="K3" s="29"/>
      <c r="L3" s="29"/>
      <c r="M3" s="29"/>
    </row>
    <row r="4" spans="2:13" ht="4" customHeight="1" thickBot="1" x14ac:dyDescent="0.3"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2:13" ht="26" customHeight="1" thickBot="1" x14ac:dyDescent="0.4">
      <c r="B5" s="32" t="s">
        <v>352</v>
      </c>
      <c r="C5" s="33"/>
      <c r="D5" s="34" t="s">
        <v>27</v>
      </c>
      <c r="E5" s="35"/>
      <c r="F5" s="36" t="s">
        <v>353</v>
      </c>
      <c r="G5" s="37"/>
      <c r="H5" s="37"/>
      <c r="J5" s="38" t="s">
        <v>354</v>
      </c>
      <c r="K5" s="33"/>
      <c r="L5" s="33"/>
      <c r="M5" s="39">
        <f>C̳álculos!$C$14</f>
        <v>85</v>
      </c>
    </row>
    <row r="6" spans="2:13" ht="20" customHeight="1" x14ac:dyDescent="0.25"/>
    <row r="7" spans="2:13" ht="22" customHeight="1" x14ac:dyDescent="0.25">
      <c r="B7" s="41" t="s">
        <v>355</v>
      </c>
      <c r="C7" s="27"/>
      <c r="D7" s="46"/>
      <c r="E7" s="41" t="s">
        <v>357</v>
      </c>
      <c r="F7" s="27"/>
      <c r="G7" s="46"/>
      <c r="H7" s="41" t="s">
        <v>358</v>
      </c>
      <c r="I7" s="27"/>
      <c r="J7" s="46"/>
      <c r="K7" s="50" t="s">
        <v>359</v>
      </c>
      <c r="L7" s="51"/>
      <c r="M7" s="53"/>
    </row>
    <row r="8" spans="2:13" ht="26" customHeight="1" x14ac:dyDescent="0.25">
      <c r="B8" s="42">
        <f>C̳álculos!$C$10</f>
        <v>990</v>
      </c>
      <c r="C8" s="40"/>
      <c r="D8" s="47"/>
      <c r="E8" s="42">
        <f>C̳álculos!$C$11</f>
        <v>1140</v>
      </c>
      <c r="F8" s="40"/>
      <c r="G8" s="47"/>
      <c r="H8" s="49">
        <f>C̳álculos!$C$12</f>
        <v>60</v>
      </c>
      <c r="I8" s="40"/>
      <c r="J8" s="48"/>
      <c r="K8" s="52">
        <f>C̳álculos!$C$13</f>
        <v>25</v>
      </c>
      <c r="L8" s="40"/>
      <c r="M8" s="45"/>
    </row>
    <row r="9" spans="2:13" ht="26" customHeight="1" x14ac:dyDescent="0.25">
      <c r="B9" s="43"/>
      <c r="C9" s="40"/>
      <c r="D9" s="47"/>
      <c r="E9" s="43"/>
      <c r="F9" s="40"/>
      <c r="G9" s="47"/>
      <c r="H9" s="43"/>
      <c r="I9" s="40"/>
      <c r="J9" s="48"/>
      <c r="K9" s="43"/>
      <c r="L9" s="40"/>
      <c r="M9" s="45"/>
    </row>
    <row r="10" spans="2:13" ht="20" customHeight="1" x14ac:dyDescent="0.25">
      <c r="B10" s="44" t="s">
        <v>356</v>
      </c>
      <c r="C10" s="40"/>
      <c r="D10" s="48"/>
      <c r="E10" s="44" t="s">
        <v>356</v>
      </c>
      <c r="F10" s="40"/>
      <c r="G10" s="48"/>
      <c r="H10" s="44" t="str">
        <f>TEXT(C̳álculos!$C$15,"0.0%")&amp;" dos assinantes no filtro"</f>
        <v>71% dos assinantes no filtro</v>
      </c>
      <c r="I10" s="40"/>
      <c r="J10" s="48"/>
      <c r="K10" s="44" t="str">
        <f>TEXT(C̳álculos!$C$16,"0.0%")&amp;" dos assinantes no filtro"</f>
        <v>29% dos assinantes no filtro</v>
      </c>
      <c r="L10" s="40"/>
      <c r="M10" s="45"/>
    </row>
    <row r="11" spans="2:13" ht="20" customHeight="1" x14ac:dyDescent="0.25"/>
    <row r="12" spans="2:13" ht="20" customHeight="1" thickBot="1" x14ac:dyDescent="0.3">
      <c r="B12" s="54" t="s">
        <v>360</v>
      </c>
      <c r="C12" s="54"/>
      <c r="D12" s="54"/>
      <c r="E12" s="54"/>
      <c r="F12" s="54"/>
      <c r="G12" s="54"/>
      <c r="H12" s="54" t="s">
        <v>361</v>
      </c>
      <c r="I12" s="54"/>
      <c r="J12" s="54"/>
      <c r="K12" s="54"/>
      <c r="L12" s="54"/>
      <c r="M12" s="54"/>
    </row>
    <row r="13" spans="2:13" ht="20" customHeight="1" x14ac:dyDescent="0.3">
      <c r="H13" s="56" t="s">
        <v>362</v>
      </c>
      <c r="I13" s="56"/>
      <c r="J13" s="55" t="s">
        <v>342</v>
      </c>
      <c r="K13" s="55"/>
      <c r="L13" s="55" t="s">
        <v>363</v>
      </c>
      <c r="M13" s="55"/>
    </row>
    <row r="14" spans="2:13" ht="24" customHeight="1" x14ac:dyDescent="0.25">
      <c r="H14" s="67" t="s">
        <v>364</v>
      </c>
      <c r="I14" s="67"/>
      <c r="J14" s="68">
        <f>C̳álculos!$C$12</f>
        <v>60</v>
      </c>
      <c r="K14" s="69"/>
      <c r="L14" s="70">
        <f>C̳álculos!$C$15</f>
        <v>0.70588235294117652</v>
      </c>
      <c r="M14" s="69"/>
    </row>
    <row r="15" spans="2:13" ht="24" customHeight="1" x14ac:dyDescent="0.25">
      <c r="H15" s="59" t="s">
        <v>365</v>
      </c>
      <c r="I15" s="59"/>
      <c r="J15" s="60">
        <f>C̳álculos!$C$13</f>
        <v>25</v>
      </c>
      <c r="K15" s="61"/>
      <c r="L15" s="62">
        <f>C̳álculos!$C$16</f>
        <v>0.29411764705882354</v>
      </c>
      <c r="M15" s="61"/>
    </row>
    <row r="16" spans="2:13" ht="24" customHeight="1" x14ac:dyDescent="0.25">
      <c r="H16" s="63" t="s">
        <v>339</v>
      </c>
      <c r="I16" s="63"/>
      <c r="J16" s="64">
        <f>C̳álculos!$C$14</f>
        <v>85</v>
      </c>
      <c r="K16" s="65"/>
      <c r="L16" s="66">
        <f>IF(C̳álculos!$C$14=0,0,1)</f>
        <v>1</v>
      </c>
      <c r="M16" s="65"/>
    </row>
    <row r="17" spans="2:13" ht="20" customHeight="1" x14ac:dyDescent="0.25"/>
    <row r="18" spans="2:13" ht="20" customHeight="1" x14ac:dyDescent="0.25"/>
    <row r="19" spans="2:13" ht="20" customHeight="1" x14ac:dyDescent="0.3">
      <c r="H19" s="71" t="s">
        <v>366</v>
      </c>
    </row>
    <row r="20" spans="2:13" ht="20" customHeight="1" x14ac:dyDescent="0.25">
      <c r="H20" s="72" t="s">
        <v>367</v>
      </c>
    </row>
    <row r="21" spans="2:13" ht="20" customHeight="1" x14ac:dyDescent="0.25">
      <c r="H21" s="72" t="s">
        <v>368</v>
      </c>
    </row>
    <row r="22" spans="2:13" ht="20" customHeight="1" x14ac:dyDescent="0.25">
      <c r="H22" s="72" t="s">
        <v>369</v>
      </c>
    </row>
    <row r="23" spans="2:13" ht="20" customHeight="1" x14ac:dyDescent="0.25"/>
    <row r="24" spans="2:13" ht="20" customHeight="1" x14ac:dyDescent="0.25"/>
    <row r="25" spans="2:13" ht="20" customHeight="1" x14ac:dyDescent="0.25"/>
    <row r="26" spans="2:13" ht="20" customHeight="1" thickBot="1" x14ac:dyDescent="0.3">
      <c r="B26" s="54" t="s">
        <v>370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</row>
    <row r="27" spans="2:13" ht="20" customHeight="1" x14ac:dyDescent="0.3">
      <c r="B27" s="82" t="s">
        <v>16</v>
      </c>
      <c r="C27" s="83"/>
      <c r="D27" s="73" t="s">
        <v>334</v>
      </c>
      <c r="E27" s="74"/>
      <c r="F27" s="73" t="s">
        <v>335</v>
      </c>
      <c r="G27" s="74"/>
      <c r="H27" s="73" t="s">
        <v>336</v>
      </c>
      <c r="I27" s="74"/>
      <c r="J27" s="73" t="s">
        <v>337</v>
      </c>
      <c r="K27" s="74"/>
      <c r="L27" s="73" t="s">
        <v>338</v>
      </c>
      <c r="M27" s="74"/>
    </row>
    <row r="28" spans="2:13" ht="20" customHeight="1" x14ac:dyDescent="0.25">
      <c r="B28" s="84" t="str">
        <f>C̳álculos!B20</f>
        <v>Annual</v>
      </c>
      <c r="C28" s="85"/>
      <c r="D28" s="76">
        <f>C̳álculos!C20</f>
        <v>600</v>
      </c>
      <c r="E28" s="77"/>
      <c r="F28" s="76">
        <f>C̳álculos!D20</f>
        <v>940</v>
      </c>
      <c r="G28" s="77"/>
      <c r="H28" s="78">
        <f>C̳álculos!E20</f>
        <v>60</v>
      </c>
      <c r="I28" s="77"/>
      <c r="J28" s="78">
        <f>C̳álculos!F20</f>
        <v>11</v>
      </c>
      <c r="K28" s="77"/>
      <c r="L28" s="78">
        <f>C̳álculos!G20</f>
        <v>71</v>
      </c>
      <c r="M28" s="77"/>
    </row>
    <row r="29" spans="2:13" ht="20" customHeight="1" x14ac:dyDescent="0.25">
      <c r="B29" s="86"/>
      <c r="C29" s="86"/>
      <c r="D29" s="75">
        <f>C̳álculos!C21</f>
        <v>1350</v>
      </c>
      <c r="E29" s="58"/>
      <c r="F29" s="75">
        <f>C̳álculos!D21</f>
        <v>1800</v>
      </c>
      <c r="G29" s="58"/>
      <c r="H29" s="57">
        <f>C̳álculos!E21</f>
        <v>28</v>
      </c>
      <c r="I29" s="58"/>
      <c r="J29" s="57">
        <f>C̳álculos!F21</f>
        <v>111</v>
      </c>
      <c r="K29" s="58"/>
      <c r="L29" s="57">
        <f>C̳álculos!G21</f>
        <v>139</v>
      </c>
      <c r="M29" s="58"/>
    </row>
    <row r="30" spans="2:13" ht="20" customHeight="1" x14ac:dyDescent="0.25">
      <c r="B30" s="86"/>
      <c r="C30" s="86"/>
      <c r="D30" s="75">
        <f>C̳álculos!C22</f>
        <v>990</v>
      </c>
      <c r="E30" s="58"/>
      <c r="F30" s="75">
        <f>C̳álculos!D22</f>
        <v>1140</v>
      </c>
      <c r="G30" s="58"/>
      <c r="H30" s="57">
        <f>C̳álculos!E22</f>
        <v>60</v>
      </c>
      <c r="I30" s="58"/>
      <c r="J30" s="57">
        <f>C̳álculos!F22</f>
        <v>25</v>
      </c>
      <c r="K30" s="58"/>
      <c r="L30" s="57">
        <f>C̳álculos!G22</f>
        <v>85</v>
      </c>
      <c r="M30" s="58"/>
    </row>
    <row r="31" spans="2:13" ht="20" customHeight="1" x14ac:dyDescent="0.3">
      <c r="B31" s="87"/>
      <c r="C31" s="87"/>
      <c r="D31" s="79">
        <f>C̳álculos!C23</f>
        <v>2940</v>
      </c>
      <c r="E31" s="80"/>
      <c r="F31" s="79">
        <f>C̳álculos!D23</f>
        <v>3880</v>
      </c>
      <c r="G31" s="80"/>
      <c r="H31" s="81">
        <f>C̳álculos!E23</f>
        <v>148</v>
      </c>
      <c r="I31" s="80"/>
      <c r="J31" s="81">
        <f>C̳álculos!F23</f>
        <v>147</v>
      </c>
      <c r="K31" s="80"/>
      <c r="L31" s="81">
        <f>C̳álculos!G23</f>
        <v>295</v>
      </c>
      <c r="M31" s="80"/>
    </row>
    <row r="32" spans="2:13" ht="20" customHeight="1" x14ac:dyDescent="0.25"/>
    <row r="33" spans="2:13" ht="20" customHeight="1" x14ac:dyDescent="0.3">
      <c r="B33" s="88" t="str">
        <f>"Fonte: aba base de dados ("&amp;TEXT(COUNTA(B̳ases!$A$2:$A$5000),"#,##0")&amp;" assinantes). Valores em R$ · atualiza automaticamente."</f>
        <v>Fonte: aba base de dados (295,0 assinantes). Valores em R$ · atualiza automaticamente.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</row>
    <row r="34" spans="2:13" ht="20" customHeight="1" x14ac:dyDescent="0.25"/>
    <row r="35" spans="2:13" ht="20" customHeight="1" x14ac:dyDescent="0.25"/>
    <row r="36" spans="2:13" ht="20" customHeight="1" x14ac:dyDescent="0.25"/>
    <row r="37" spans="2:13" ht="20" customHeight="1" x14ac:dyDescent="0.25"/>
    <row r="38" spans="2:13" ht="20" customHeight="1" x14ac:dyDescent="0.25"/>
    <row r="39" spans="2:13" ht="20" customHeight="1" x14ac:dyDescent="0.25"/>
    <row r="40" spans="2:13" ht="20" customHeight="1" x14ac:dyDescent="0.25"/>
  </sheetData>
  <mergeCells count="61">
    <mergeCell ref="B33:M33"/>
    <mergeCell ref="L27:M27"/>
    <mergeCell ref="L28:M28"/>
    <mergeCell ref="L29:M29"/>
    <mergeCell ref="L30:M30"/>
    <mergeCell ref="L31:M31"/>
    <mergeCell ref="B28:C31"/>
    <mergeCell ref="H27:I27"/>
    <mergeCell ref="H28:I28"/>
    <mergeCell ref="H29:I29"/>
    <mergeCell ref="H30:I30"/>
    <mergeCell ref="H31:I31"/>
    <mergeCell ref="J27:K27"/>
    <mergeCell ref="J28:K28"/>
    <mergeCell ref="J29:K29"/>
    <mergeCell ref="J30:K30"/>
    <mergeCell ref="J31:K31"/>
    <mergeCell ref="D31:E31"/>
    <mergeCell ref="F27:G27"/>
    <mergeCell ref="F28:G28"/>
    <mergeCell ref="F29:G29"/>
    <mergeCell ref="F30:G30"/>
    <mergeCell ref="F31:G31"/>
    <mergeCell ref="B26:M26"/>
    <mergeCell ref="B27:C27"/>
    <mergeCell ref="D27:E27"/>
    <mergeCell ref="D28:E28"/>
    <mergeCell ref="D29:E29"/>
    <mergeCell ref="D30:E30"/>
    <mergeCell ref="H15:I15"/>
    <mergeCell ref="J15:K15"/>
    <mergeCell ref="L15:M15"/>
    <mergeCell ref="H16:I16"/>
    <mergeCell ref="J16:K16"/>
    <mergeCell ref="L16:M16"/>
    <mergeCell ref="B12:G12"/>
    <mergeCell ref="H12:M12"/>
    <mergeCell ref="H13:I13"/>
    <mergeCell ref="J13:K13"/>
    <mergeCell ref="L13:M13"/>
    <mergeCell ref="H14:I14"/>
    <mergeCell ref="J14:K14"/>
    <mergeCell ref="L14:M14"/>
    <mergeCell ref="H7:J7"/>
    <mergeCell ref="H8:J9"/>
    <mergeCell ref="H10:J10"/>
    <mergeCell ref="K7:M7"/>
    <mergeCell ref="K8:M9"/>
    <mergeCell ref="K10:M10"/>
    <mergeCell ref="B7:D7"/>
    <mergeCell ref="B8:C9"/>
    <mergeCell ref="B10:D10"/>
    <mergeCell ref="E7:G7"/>
    <mergeCell ref="E8:F9"/>
    <mergeCell ref="E10:G10"/>
    <mergeCell ref="B2:I3"/>
    <mergeCell ref="J2:M3"/>
    <mergeCell ref="B5:C5"/>
    <mergeCell ref="D5:E5"/>
    <mergeCell ref="F5:H5"/>
    <mergeCell ref="J5:L5"/>
  </mergeCells>
  <conditionalFormatting sqref="B28:M30">
    <cfRule type="expression" dxfId="0" priority="1" stopIfTrue="1">
      <formula>$B28=$D$5</formula>
    </cfRule>
  </conditionalFormatting>
  <dataValidations count="1">
    <dataValidation type="list" allowBlank="1" showInputMessage="1" showErrorMessage="1" errorTitle="Filtro inválido" error="Escolha: Todos, Annual, Monthly ou Quarterly." sqref="D5" xr:uid="{0F632560-B73F-4CEC-9EF4-6D4FF6BC75F4}">
      <formula1>"Todos,Annual,Monthly,Quarterly"</formula1>
    </dataValidation>
  </dataValidation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A̳ssets</vt:lpstr>
      <vt:lpstr>B̳ases</vt:lpstr>
      <vt:lpstr>C̳álculos</vt:lpstr>
      <vt:lpstr>D̳ashboard</vt:lpstr>
      <vt:lpstr>D̳ashboard!Area_de_impressao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Genison Moreira</cp:lastModifiedBy>
  <dcterms:created xsi:type="dcterms:W3CDTF">2024-12-19T13:13:10Z</dcterms:created>
  <dcterms:modified xsi:type="dcterms:W3CDTF">2026-10-19T00:19:29Z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